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comments+xml" PartName="/xl/comments/comment1.xml"/>
  <Override ContentType="application/vnd.openxmlformats-officedocument.spreadsheetml.worksheet+xml" PartName="/xl/worksheets/sheet2.xml"/>
  <Override ContentType="application/vnd.openxmlformats-officedocument.spreadsheetml.comments+xml" PartName="/xl/comments/comment2.xml"/>
  <Override ContentType="application/vnd.openxmlformats-officedocument.spreadsheetml.worksheet+xml" PartName="/xl/worksheets/sheet3.xml"/>
  <Override ContentType="application/vnd.openxmlformats-officedocument.spreadsheetml.comments+xml" PartName="/xl/comments/comment3.xml"/>
  <Override ContentType="application/vnd.openxmlformats-officedocument.spreadsheetml.worksheet+xml" PartName="/xl/worksheets/sheet4.xml"/>
  <Override ContentType="application/vnd.openxmlformats-officedocument.spreadsheetml.comments+xml" PartName="/xl/comments/commen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comments+xml" PartName="/xl/comments/comment5.xml"/>
  <Override ContentType="application/vnd.openxmlformats-officedocument.spreadsheetml.worksheet+xml" PartName="/xl/worksheets/sheet7.xml"/>
  <Override ContentType="application/vnd.openxmlformats-officedocument.spreadsheetml.comments+xml" PartName="/xl/comments/comment6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comments+xml" PartName="/xl/comments/comment7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comments+xml" PartName="/xl/comments/comment8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comments+xml" PartName="/xl/comments/comment9.xml"/>
  <Override ContentType="application/vnd.openxmlformats-officedocument.spreadsheetml.worksheet+xml" PartName="/xl/worksheets/sheet15.xml"/>
  <Override ContentType="application/vnd.openxmlformats-officedocument.spreadsheetml.comments+xml" PartName="/xl/comments/comment10.xml"/>
  <Override ContentType="application/vnd.ms-excel.sheet.macroEnabled.main+xml" PartName="/xl/workbook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omments+xml" PartName="/xl/comments8.xml"/>
  <Override ContentType="application/vnd.openxmlformats-officedocument.spreadsheetml.comments+xml" PartName="/xl/comments9.xml"/>
  <Override ContentType="application/vnd.openxmlformats-officedocument.spreadsheetml.comments+xml" PartName="/xl/comments10.xml"/>
  <Override ContentType="application/vnd.openxmlformats-officedocument.spreadsheetml.calcChain+xml" PartName="/xl/calcChain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6" autoFilterDateGrouping="1" firstSheet="3" minimized="0" showHorizontalScroll="1" showSheetTabs="1" showVerticalScroll="1" tabRatio="723" visibility="visible" windowHeight="18860" windowWidth="25600" xWindow="33600" yWindow="-5820"/>
  </bookViews>
  <sheets>
    <sheet name="BASIS - Financial data" sheetId="1" state="visible" r:id="rId1"/>
    <sheet name="BASIS - Housing per period" sheetId="2" state="visible" r:id="rId2"/>
    <sheet name="BASIS - Accessiblity of plans" sheetId="3" state="visible" r:id="rId3"/>
    <sheet name="BASIS - Plans per municipality" sheetId="4" state="visible" r:id="rId4"/>
    <sheet name="BASIS - Housing demand" sheetId="5" state="visible" r:id="rId5"/>
    <sheet name="INPUT - Housing per plan " sheetId="6" state="visible" r:id="rId6"/>
    <sheet name="INPUT - Infra Projects" sheetId="7" state="visible" r:id="rId7"/>
    <sheet name="Packages" sheetId="8" state="visible" r:id="rId8"/>
    <sheet name="Indicator 1 Accessibility" sheetId="9" state="visible" r:id="rId9"/>
    <sheet name="Indicator 2 Market balance" sheetId="10" state="visible" r:id="rId10"/>
    <sheet name="Indicator 3 Finances" sheetId="11" state="visible" r:id="rId11"/>
    <sheet name="Indicator 4 Spatial Goals" sheetId="12" state="visible" r:id="rId12"/>
    <sheet name="Indicator 5 Sustainability" sheetId="13" state="visible" r:id="rId13"/>
    <sheet name="Reserve Revenue (NOT USED)" sheetId="14" state="visible" r:id="rId14"/>
    <sheet name="Housing plans (NO USE)" sheetId="15" state="visible" r:id="rId15"/>
  </sheets>
  <definedNames/>
  <calcPr calcId="150001" concurrentCalc="0" fullCalcOnLoad="1"/>
</workbook>
</file>

<file path=xl/sharedStrings.xml><?xml version="1.0" encoding="utf-8"?>
<sst xmlns="http://schemas.openxmlformats.org/spreadsheetml/2006/main" uniqueCount="330">
  <si>
    <t>Index 2013</t>
  </si>
  <si>
    <t>Index 2017</t>
  </si>
  <si>
    <t>Costs</t>
  </si>
  <si>
    <t>Revenues</t>
  </si>
  <si>
    <t>Rent reduction 2013</t>
  </si>
  <si>
    <t>Costs 2017</t>
  </si>
  <si>
    <t>Revenues 2017</t>
  </si>
  <si>
    <t>Rent reduction 2017</t>
  </si>
  <si>
    <t>Rent revenues 2017</t>
  </si>
  <si>
    <t>BBG</t>
  </si>
  <si>
    <t>GF</t>
  </si>
  <si>
    <t>EIB, 2013</t>
  </si>
  <si>
    <t>Average Housing price</t>
  </si>
  <si>
    <t>Index</t>
  </si>
  <si>
    <t>BBG cost</t>
  </si>
  <si>
    <t>BBG Revenu OO</t>
  </si>
  <si>
    <t>GF Cost</t>
  </si>
  <si>
    <t>GF Revenu OO</t>
  </si>
  <si>
    <t>BBG Revenu Rent</t>
  </si>
  <si>
    <t>GF Revenu Rent</t>
  </si>
  <si>
    <t>Edam-Volendam</t>
  </si>
  <si>
    <t>Hoorn</t>
  </si>
  <si>
    <t>Purmerend</t>
  </si>
  <si>
    <t>Zaanstad</t>
  </si>
  <si>
    <t>Prov NH</t>
  </si>
  <si>
    <t>CBS,2017</t>
  </si>
  <si>
    <t>Building costs 2014</t>
  </si>
  <si>
    <t>Building costs 2017</t>
  </si>
  <si>
    <t>Rent</t>
  </si>
  <si>
    <t>Owner-occupied</t>
  </si>
  <si>
    <t>Period 1</t>
  </si>
  <si>
    <t>Period 2</t>
  </si>
  <si>
    <t>Period 3</t>
  </si>
  <si>
    <t>Period 4</t>
  </si>
  <si>
    <t>Name</t>
  </si>
  <si>
    <t>Municipality</t>
  </si>
  <si>
    <t>Package</t>
  </si>
  <si>
    <t>Programmed. Amount</t>
  </si>
  <si>
    <t>Max tot. amount</t>
  </si>
  <si>
    <t>Total</t>
  </si>
  <si>
    <t xml:space="preserve">Total </t>
  </si>
  <si>
    <t>Bangert en Oosterpolder</t>
  </si>
  <si>
    <t>p4</t>
  </si>
  <si>
    <t>Purmer Zuid-Zuid</t>
  </si>
  <si>
    <t>p3</t>
  </si>
  <si>
    <t>Kommetje A7</t>
  </si>
  <si>
    <t>Zuidoostbeemster II</t>
  </si>
  <si>
    <t>Prinsenstichting/Kadijkerkoog/Kwadijkerpark</t>
  </si>
  <si>
    <t>De Nieuwe Tuinderij Oost</t>
  </si>
  <si>
    <t>Lange Weren</t>
  </si>
  <si>
    <t>p5</t>
  </si>
  <si>
    <t>Broekgouw Keetzijde</t>
  </si>
  <si>
    <t>Broeckgouw</t>
  </si>
  <si>
    <t>Achtersluispolder</t>
  </si>
  <si>
    <t>p1</t>
  </si>
  <si>
    <t>Hembrugterrein</t>
  </si>
  <si>
    <t>Kogerveld</t>
  </si>
  <si>
    <t>p2</t>
  </si>
  <si>
    <t>Centrum Oost</t>
  </si>
  <si>
    <t>Molletjesveer</t>
  </si>
  <si>
    <t>Kreekrijk</t>
  </si>
  <si>
    <t>Highway adjacency</t>
  </si>
  <si>
    <t>Station adjacency</t>
  </si>
  <si>
    <t>Score</t>
  </si>
  <si>
    <t>Nearest exit</t>
  </si>
  <si>
    <t>distance</t>
  </si>
  <si>
    <t>time</t>
  </si>
  <si>
    <t>Nearest station</t>
  </si>
  <si>
    <t>Bus time</t>
  </si>
  <si>
    <t>Bicycle time</t>
  </si>
  <si>
    <t>Transit</t>
  </si>
  <si>
    <t>Overall</t>
  </si>
  <si>
    <t>N302</t>
  </si>
  <si>
    <t>Hoorn Kersenboogerd</t>
  </si>
  <si>
    <t>N235</t>
  </si>
  <si>
    <t>Purmerend-Zuid</t>
  </si>
  <si>
    <t>Purmerend Weidevenne</t>
  </si>
  <si>
    <t>Purmerend-Noord</t>
  </si>
  <si>
    <t>Purmerend Overwhere</t>
  </si>
  <si>
    <t>N244</t>
  </si>
  <si>
    <t>N517</t>
  </si>
  <si>
    <t>Amsterdam</t>
  </si>
  <si>
    <t>N247</t>
  </si>
  <si>
    <t>Oostzaan (A8)</t>
  </si>
  <si>
    <t>Zaandam</t>
  </si>
  <si>
    <t>Knppunt Zaandam (A8/A7)</t>
  </si>
  <si>
    <t>Zaandam-Kogerveld</t>
  </si>
  <si>
    <t>knppunt (N8/N203)</t>
  </si>
  <si>
    <t>Wormerveer</t>
  </si>
  <si>
    <t>N8/N203</t>
  </si>
  <si>
    <t>Krommenie-Assendelft</t>
  </si>
  <si>
    <t>Supply per municipality included plans</t>
  </si>
  <si>
    <t>Market</t>
  </si>
  <si>
    <t>Type</t>
  </si>
  <si>
    <t>Unknown</t>
  </si>
  <si>
    <t>Amount per playable location</t>
  </si>
  <si>
    <t>Remaining amount</t>
  </si>
  <si>
    <t>Tot. Amount</t>
  </si>
  <si>
    <t>Buy</t>
  </si>
  <si>
    <t xml:space="preserve">Rent </t>
  </si>
  <si>
    <t>Ground-bound</t>
  </si>
  <si>
    <t>Appartments</t>
  </si>
  <si>
    <t>n.a.</t>
  </si>
  <si>
    <t>Purmerend (+Middenbeemster)</t>
  </si>
  <si>
    <t>Totaal</t>
  </si>
  <si>
    <t>Demand</t>
  </si>
  <si>
    <t>Adjusted</t>
  </si>
  <si>
    <t>Purmerend (+ Beemster)</t>
  </si>
  <si>
    <t>Total with Amsterdam</t>
  </si>
  <si>
    <t>Total excl Amsterdam</t>
  </si>
  <si>
    <t>Adjacency effects</t>
  </si>
  <si>
    <t>CHOICE</t>
  </si>
  <si>
    <t>Accessibility effects</t>
  </si>
  <si>
    <t>ID</t>
  </si>
  <si>
    <t>Transit/Bicycle</t>
  </si>
  <si>
    <t>Car</t>
  </si>
  <si>
    <t>Owner-Occupied</t>
  </si>
  <si>
    <t>Check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</si>
  <si>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</si>
  <si>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</si>
  <si>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</si>
  <si>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</si>
  <si>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</si>
  <si>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</si>
  <si>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</si>
  <si>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</si>
  <si>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</si>
  <si>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</si>
  <si>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</si>
  <si>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</si>
  <si>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</si>
  <si>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</si>
  <si>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</si>
  <si>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IDINFRA</t>
  </si>
  <si>
    <t>Character</t>
  </si>
  <si>
    <t>Process and Finance</t>
  </si>
  <si>
    <t>Cost distribution</t>
  </si>
  <si>
    <t>Effects car accessibility</t>
  </si>
  <si>
    <t>Effects transit accessibility</t>
  </si>
  <si>
    <t>Project impact</t>
  </si>
  <si>
    <t>Accessibility impact</t>
  </si>
  <si>
    <t>Accessibility impact transit</t>
  </si>
  <si>
    <t>Accessibility impact car</t>
  </si>
  <si>
    <t>Modality</t>
  </si>
  <si>
    <t>Location</t>
  </si>
  <si>
    <t>Costs (M€)</t>
  </si>
  <si>
    <t>Start (earliest)</t>
  </si>
  <si>
    <t>Decision by</t>
  </si>
  <si>
    <t>Construction time (years)</t>
  </si>
  <si>
    <t>Gebiedspakket</t>
  </si>
  <si>
    <t>Infrapakket</t>
  </si>
  <si>
    <t>yes/no</t>
  </si>
  <si>
    <t>Province</t>
  </si>
  <si>
    <t>Ministry</t>
  </si>
  <si>
    <t>CHECK</t>
  </si>
  <si>
    <t>Acc. Amsterdam</t>
  </si>
  <si>
    <t>Acc. Edam-Volendam</t>
  </si>
  <si>
    <t>Acc. Hoorn</t>
  </si>
  <si>
    <t>Acc. Purmerend</t>
  </si>
  <si>
    <t>Acc. Zaanstad</t>
  </si>
  <si>
    <t>Multiplier</t>
  </si>
  <si>
    <t>Regionale Fietsroute Hoorn-Purmerend</t>
  </si>
  <si>
    <t>BIC-HP1</t>
  </si>
  <si>
    <t>Bicycle</t>
  </si>
  <si>
    <t>Infra</t>
  </si>
  <si>
    <t>Hoorn - Purmerend</t>
  </si>
  <si>
    <t>2020</t>
  </si>
  <si>
    <t>Hoorn, Purmerend, Province</t>
  </si>
  <si>
    <t>PT</t>
  </si>
  <si>
    <t>Snelfietsroute Purmerend - Zaanstad</t>
  </si>
  <si>
    <t>BIC-PZ1</t>
  </si>
  <si>
    <t>Purmerend - Zaanstad</t>
  </si>
  <si>
    <t>Purmerend, Zaanstad, Province</t>
  </si>
  <si>
    <t>Verbinding Zaanstad-Amsterdam Noord (Achtersluispolder)</t>
  </si>
  <si>
    <t>BIC-ZA1</t>
  </si>
  <si>
    <t>Bicycle - Bus - Boat</t>
  </si>
  <si>
    <t>Zaanstad-Amsterdam</t>
  </si>
  <si>
    <t>Zaanstad, Amsterdam, Province</t>
  </si>
  <si>
    <t>p6</t>
  </si>
  <si>
    <t>Ongelijkvloerse kruising spoor - Churchilllaan</t>
  </si>
  <si>
    <t>BIC-PNH1</t>
  </si>
  <si>
    <t>Bicycle - Bus - Car - Train</t>
  </si>
  <si>
    <t>Purmerend, Province?</t>
  </si>
  <si>
    <t>HOV verbinding Purmerend-Amsterdam</t>
  </si>
  <si>
    <t>BUS-PA1</t>
  </si>
  <si>
    <t>Bus</t>
  </si>
  <si>
    <t>Purmerend, Amsterdam, Province</t>
  </si>
  <si>
    <t>Knooppunt A10-N247-s116 (KANS)</t>
  </si>
  <si>
    <t>CAR-NHM1</t>
  </si>
  <si>
    <t>Province, Ministry</t>
  </si>
  <si>
    <t>N23 Westfrisiaweg (west)</t>
  </si>
  <si>
    <t>CAR-NHM2</t>
  </si>
  <si>
    <t>Purmerend - Hoorn</t>
  </si>
  <si>
    <t>N23 Westfrisiaweg (oost)</t>
  </si>
  <si>
    <t>Permanent openstellen van alle rijstroken in de Coentunnel</t>
  </si>
  <si>
    <t>CAR-NHM3</t>
  </si>
  <si>
    <t>Amsterdam - Zaanstad</t>
  </si>
  <si>
    <t>Derde ontsluitingsweg</t>
  </si>
  <si>
    <t>CAR-ENH1</t>
  </si>
  <si>
    <t>17</t>
  </si>
  <si>
    <t>Edam-Volendam, Province</t>
  </si>
  <si>
    <t>Ombouw van de turborotonde in de provinciale weg</t>
  </si>
  <si>
    <t>CAR-HNH1</t>
  </si>
  <si>
    <t>Hoorn, Province</t>
  </si>
  <si>
    <t>Spitsstrook op de A7 tussen de aansluitingen Hoorn Noord en Avenhorn</t>
  </si>
  <si>
    <t>CAR-M1</t>
  </si>
  <si>
    <t>Bereikbaarheid Waterland: Rijbaanverdubbeling N244</t>
  </si>
  <si>
    <t>CAR-PNH1</t>
  </si>
  <si>
    <t>5</t>
  </si>
  <si>
    <t>2018</t>
  </si>
  <si>
    <t>Province, Purmerend</t>
  </si>
  <si>
    <t>Carpoolplaatsen</t>
  </si>
  <si>
    <t>CAR-PNH2</t>
  </si>
  <si>
    <t>Purmerend, Province</t>
  </si>
  <si>
    <t>CAR-HNH2</t>
  </si>
  <si>
    <t>Verbreding A7 tussen de aansluiting Purmerend Noord en Purmerend Zuid</t>
  </si>
  <si>
    <t>CAR-M2</t>
  </si>
  <si>
    <t>2030</t>
  </si>
  <si>
    <t>Verbreding laan der continenten</t>
  </si>
  <si>
    <t>CAR-PP8</t>
  </si>
  <si>
    <t>Bereikbaarheid Waterland: N247</t>
  </si>
  <si>
    <t>CAR-PNH3</t>
  </si>
  <si>
    <t>Waterland</t>
  </si>
  <si>
    <t>44</t>
  </si>
  <si>
    <t>A8 verbeteren tussen de knooppunten Zaandam en Coenplein</t>
  </si>
  <si>
    <t>CAR-M3</t>
  </si>
  <si>
    <t>A8-A9 verbinding</t>
  </si>
  <si>
    <t>CAR-M4</t>
  </si>
  <si>
    <t>Afwaarderen van de A7 in Zaandam</t>
  </si>
  <si>
    <t>CAR-ZNH1</t>
  </si>
  <si>
    <t>Zaanstad, Province</t>
  </si>
  <si>
    <t>AVANT (Invalsweg N516/Thorbeckeweg)</t>
  </si>
  <si>
    <t>CAR-ZNH2</t>
  </si>
  <si>
    <t>Laten vervallen van de aansluiting Zaandijk</t>
  </si>
  <si>
    <t>CAR-M5</t>
  </si>
  <si>
    <t>p7</t>
  </si>
  <si>
    <t>Ombouw van het knooppunt Zaandam</t>
  </si>
  <si>
    <t>CAR-M6</t>
  </si>
  <si>
    <t>Volledig maken van de aansluiting Zaandijk-West</t>
  </si>
  <si>
    <t>CAR-M7</t>
  </si>
  <si>
    <t>Guisweg</t>
  </si>
  <si>
    <t>CAR-ZNH3</t>
  </si>
  <si>
    <t>1,5</t>
  </si>
  <si>
    <t>Ombouw spitsstrook A7 tussen Zaandam en Purmerend Zuid</t>
  </si>
  <si>
    <t>CAR-M8</t>
  </si>
  <si>
    <t>Zaanstad - Purmerend</t>
  </si>
  <si>
    <t>Verlenging keerspoor Hoorn Kersenboogerd</t>
  </si>
  <si>
    <t>TRA-M1</t>
  </si>
  <si>
    <t>Train</t>
  </si>
  <si>
    <t>10,9</t>
  </si>
  <si>
    <t>Afteller bij Hoorn Kersenboogerd</t>
  </si>
  <si>
    <t>TRA-M2</t>
  </si>
  <si>
    <t>Opheffen snelheidsbeperking Zaandam-Kogerveld</t>
  </si>
  <si>
    <t>TRA-M3</t>
  </si>
  <si>
    <t>Services</t>
  </si>
  <si>
    <t>Borgen airportsprinter in netwerk Amsterdam-Schiphol</t>
  </si>
  <si>
    <t>TRA-NHM1</t>
  </si>
  <si>
    <t>Afteller bij station Purmerend</t>
  </si>
  <si>
    <t>TRA-M4</t>
  </si>
  <si>
    <t xml:space="preserve">Train </t>
  </si>
  <si>
    <t>Meer capaciteit aanbieden in de spits (langer, dubbeldeks, 8 bakken)</t>
  </si>
  <si>
    <t>TRA-NHM2</t>
  </si>
  <si>
    <t>Zaanstad, Purmerend, Hoorn</t>
  </si>
  <si>
    <t>Reguliere IC stop in Zaandam</t>
  </si>
  <si>
    <t>TRA-NHM3</t>
  </si>
  <si>
    <t>Combineren stations Koog aan de Zaan en Zaandijk-Zaanse Schans</t>
  </si>
  <si>
    <t>TRA-NHM4</t>
  </si>
  <si>
    <t>Verlenging perron station Hoorn</t>
  </si>
  <si>
    <t>TRA-NHM5</t>
  </si>
  <si>
    <t>Verlenging sprinter naar Hoorn Kersenboogerd</t>
  </si>
  <si>
    <t>TRA-NHM6</t>
  </si>
  <si>
    <t>Vaste oeververbinding Noordzeekanaal</t>
  </si>
  <si>
    <t>ALL-ALL1</t>
  </si>
  <si>
    <t>Car, Train, Bus, Bicycle</t>
  </si>
  <si>
    <t>Zaanstad - Amsterdam</t>
  </si>
  <si>
    <t>Ministry, Province, Zaanstad, Amsterdam</t>
  </si>
  <si>
    <t>PT, Car</t>
  </si>
  <si>
    <t>Name Package</t>
  </si>
  <si>
    <t>Players involved</t>
  </si>
  <si>
    <t>Infrastructure (Opt in or out)</t>
  </si>
  <si>
    <t>Housing plans (determine amount per type)</t>
  </si>
  <si>
    <t>Gebiedspakketten</t>
  </si>
  <si>
    <t>Acc</t>
  </si>
  <si>
    <t>Market Balance</t>
  </si>
  <si>
    <t>Revenues Housing</t>
  </si>
  <si>
    <t>Costs Infra</t>
  </si>
  <si>
    <t>Financial result</t>
  </si>
  <si>
    <t>Noordoever Noordzeekanaal</t>
  </si>
  <si>
    <t>Zaandam - noord</t>
  </si>
  <si>
    <t>Purmerend: BBG  of A7</t>
  </si>
  <si>
    <t>Ring A10 oost - Waterland</t>
  </si>
  <si>
    <t>Infrapakketten</t>
  </si>
  <si>
    <t>Grote Infra</t>
  </si>
  <si>
    <t>Kleine Infra / Diensten</t>
  </si>
  <si>
    <t>Plan zit in meerdere gebiedspakketten</t>
  </si>
  <si>
    <t>Starting Score</t>
  </si>
  <si>
    <t>Transit accessibility</t>
  </si>
  <si>
    <t>Car accessibility</t>
  </si>
  <si>
    <t>Province of Noord-Holland</t>
  </si>
  <si>
    <t>Municipalities</t>
  </si>
  <si>
    <t>Start Supply</t>
  </si>
  <si>
    <t>Start Demand</t>
  </si>
  <si>
    <t>Start score</t>
  </si>
  <si>
    <t>Market balance</t>
  </si>
  <si>
    <t>Regional incl Ams</t>
  </si>
  <si>
    <t>Regional excl Ams</t>
  </si>
  <si>
    <t>Player</t>
  </si>
  <si>
    <t>Starting budget</t>
  </si>
  <si>
    <t>Housing Revenu</t>
  </si>
  <si>
    <t>Transport Investments</t>
  </si>
  <si>
    <t>Investment costs</t>
  </si>
  <si>
    <t>TOD Goal</t>
  </si>
  <si>
    <t>Use Build-up area</t>
  </si>
  <si>
    <t>Social Housing goal</t>
  </si>
  <si>
    <t>Starting score</t>
  </si>
  <si>
    <t>Target score</t>
  </si>
  <si>
    <t>Current score</t>
  </si>
  <si>
    <t>Decreasing factor</t>
  </si>
  <si>
    <t>Increasing factor</t>
  </si>
  <si>
    <t>Starting rendement Q42018</t>
  </si>
  <si>
    <t>Demand/supply ratio</t>
  </si>
  <si>
    <t>Amsterdam overflow</t>
  </si>
  <si>
    <t>Max Supply</t>
  </si>
  <si>
    <t>Supplied</t>
  </si>
  <si>
    <t>Revenues m2</t>
  </si>
  <si>
    <t>Profitability</t>
  </si>
  <si>
    <t>Profit</t>
  </si>
  <si>
    <t>Price effect</t>
  </si>
  <si>
    <t>Transit adjacency</t>
  </si>
  <si>
    <t>Accessibility effect</t>
  </si>
</sst>
</file>

<file path=xl/styles.xml><?xml version="1.0" encoding="utf-8"?>
<styleSheet xmlns="http://schemas.openxmlformats.org/spreadsheetml/2006/main">
  <numFmts count="3">
    <numFmt formatCode="_-* #,##0_-;\-* #,##0_-;_-* &quot;-&quot;??_-;_-@_-" numFmtId="164"/>
    <numFmt formatCode="0.00000" numFmtId="165"/>
    <numFmt formatCode="0.000" numFmtId="166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color rgb="FFFA7D00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borderId="0" fillId="0" fontId="2" numFmtId="0"/>
    <xf borderId="0" fillId="0" fontId="2" numFmtId="0"/>
    <xf borderId="0" fillId="0" fontId="4" numFmtId="0"/>
    <xf borderId="0" fillId="3" fontId="6" numFmtId="0"/>
    <xf borderId="4" fillId="5" fontId="8" numFmtId="0"/>
  </cellStyleXfs>
  <cellXfs count="53">
    <xf borderId="0" fillId="0" fontId="0" numFmtId="0" pivotButton="0" quotePrefix="0" xfId="0"/>
    <xf borderId="0" fillId="0" fontId="0" numFmtId="9" pivotButton="0" quotePrefix="0" xfId="1"/>
    <xf borderId="0" fillId="0" fontId="0" numFmtId="164" pivotButton="0" quotePrefix="0" xfId="0"/>
    <xf borderId="0" fillId="2" fontId="0" numFmtId="1" pivotButton="0" quotePrefix="0" xfId="0"/>
    <xf borderId="0" fillId="2" fontId="0" numFmtId="2" pivotButton="0" quotePrefix="0" xfId="0"/>
    <xf borderId="2" fillId="0" fontId="0" numFmtId="0" pivotButton="0" quotePrefix="0" xfId="0"/>
    <xf borderId="1" fillId="0" fontId="0" numFmtId="1" pivotButton="0" quotePrefix="0" xfId="0"/>
    <xf borderId="3" fillId="2" fontId="0" numFmtId="164" pivotButton="0" quotePrefix="0" xfId="0"/>
    <xf borderId="1" fillId="0" fontId="0" numFmtId="164" pivotButton="0" quotePrefix="0" xfId="0"/>
    <xf borderId="3" fillId="0" fontId="0" numFmtId="164" pivotButton="0" quotePrefix="0" xfId="0"/>
    <xf borderId="0" fillId="0" fontId="5" numFmtId="0" pivotButton="0" quotePrefix="0" xfId="2"/>
    <xf borderId="0" fillId="0" fontId="0" numFmtId="49" pivotButton="0" quotePrefix="0" xfId="0"/>
    <xf applyAlignment="1" borderId="0" fillId="0" fontId="0" numFmtId="2" pivotButton="0" quotePrefix="0" xfId="0">
      <alignment horizontal="right"/>
    </xf>
    <xf borderId="0" fillId="0" fontId="1" numFmtId="0" pivotButton="0" quotePrefix="0" xfId="0"/>
    <xf applyAlignment="1" borderId="0" fillId="0" fontId="1" numFmtId="2" pivotButton="0" quotePrefix="0" xfId="0">
      <alignment vertical="top"/>
    </xf>
    <xf borderId="0" fillId="0" fontId="1" numFmtId="49" pivotButton="0" quotePrefix="0" xfId="0"/>
    <xf borderId="0" fillId="0" fontId="1" numFmtId="2" pivotButton="0" quotePrefix="0" xfId="0"/>
    <xf borderId="3" fillId="2" fontId="3" numFmtId="1" pivotButton="0" quotePrefix="0" xfId="0"/>
    <xf borderId="3" fillId="0" fontId="3" numFmtId="1" pivotButton="0" quotePrefix="0" xfId="0"/>
    <xf borderId="0" fillId="0" fontId="0" numFmtId="0" pivotButton="0" quotePrefix="0" xfId="0"/>
    <xf borderId="0" fillId="0" fontId="0" numFmtId="1" pivotButton="0" quotePrefix="0" xfId="0"/>
    <xf borderId="0" fillId="3" fontId="6" numFmtId="0" pivotButton="0" quotePrefix="0" xfId="3"/>
    <xf borderId="0" fillId="2" fontId="0" numFmtId="49" pivotButton="0" quotePrefix="0" xfId="0"/>
    <xf borderId="0" fillId="2" fontId="0" numFmtId="0" pivotButton="0" quotePrefix="0" xfId="0"/>
    <xf applyAlignment="1" borderId="0" fillId="2" fontId="0" numFmtId="0" pivotButton="0" quotePrefix="0" xfId="0">
      <alignment horizontal="right"/>
    </xf>
    <xf applyAlignment="1" borderId="0" fillId="4" fontId="1" numFmtId="2" pivotButton="0" quotePrefix="0" xfId="0">
      <alignment vertical="top"/>
    </xf>
    <xf borderId="0" fillId="4" fontId="1" numFmtId="0" pivotButton="0" quotePrefix="0" xfId="0"/>
    <xf borderId="0" fillId="4" fontId="0" numFmtId="0" pivotButton="0" quotePrefix="0" xfId="0"/>
    <xf applyAlignment="1" borderId="0" fillId="0" fontId="0" numFmtId="2" pivotButton="0" quotePrefix="0" xfId="0">
      <alignment vertical="top"/>
    </xf>
    <xf borderId="0" fillId="4" fontId="1" numFmtId="2" pivotButton="0" quotePrefix="0" xfId="0"/>
    <xf applyAlignment="1" borderId="0" fillId="4" fontId="0" numFmtId="2" pivotButton="0" quotePrefix="0" xfId="0">
      <alignment horizontal="right"/>
    </xf>
    <xf borderId="0" fillId="4" fontId="0" numFmtId="2" pivotButton="0" quotePrefix="0" xfId="0"/>
    <xf borderId="0" fillId="0" fontId="0" numFmtId="2" pivotButton="0" quotePrefix="0" xfId="0"/>
    <xf borderId="0" fillId="0" fontId="7" numFmtId="0" pivotButton="0" quotePrefix="0" xfId="0"/>
    <xf borderId="0" fillId="0" fontId="0" numFmtId="165" pivotButton="0" quotePrefix="0" xfId="0"/>
    <xf borderId="0" fillId="2" fontId="1" numFmtId="0" pivotButton="0" quotePrefix="0" xfId="0"/>
    <xf borderId="4" fillId="5" fontId="8" numFmtId="0" pivotButton="0" quotePrefix="0" xfId="4"/>
    <xf borderId="4" fillId="5" fontId="8" numFmtId="1" pivotButton="0" quotePrefix="0" xfId="4"/>
    <xf borderId="0" fillId="0" fontId="3" numFmtId="0" pivotButton="0" quotePrefix="0" xfId="0"/>
    <xf borderId="0" fillId="2" fontId="5" numFmtId="0" pivotButton="0" quotePrefix="0" xfId="0"/>
    <xf borderId="0" fillId="2" fontId="5" numFmtId="166" pivotButton="0" quotePrefix="0" xfId="0"/>
    <xf borderId="0" fillId="0" fontId="5" numFmtId="0" pivotButton="0" quotePrefix="0" xfId="0"/>
    <xf applyAlignment="1" borderId="0" fillId="0" fontId="0" numFmtId="0" pivotButton="0" quotePrefix="0" xfId="0">
      <alignment horizontal="left"/>
    </xf>
    <xf applyAlignment="1" borderId="0" fillId="0" fontId="1" numFmtId="0" pivotButton="0" quotePrefix="0" xfId="0">
      <alignment horizontal="left" vertical="top"/>
    </xf>
    <xf applyAlignment="1" borderId="0" fillId="0" fontId="0" numFmtId="0" pivotButton="0" quotePrefix="0" xfId="0">
      <alignment horizontal="left" vertical="top"/>
    </xf>
    <xf applyAlignment="1" borderId="0" fillId="0" fontId="0" numFmtId="0" pivotButton="0" quotePrefix="0" xfId="0">
      <alignment horizontal="left"/>
    </xf>
    <xf borderId="0" fillId="0" fontId="0" numFmtId="0" pivotButton="0" quotePrefix="0" xfId="0"/>
    <xf applyAlignment="1" borderId="0" fillId="0" fontId="0" numFmtId="0" pivotButton="0" quotePrefix="0" xfId="0">
      <alignment vertical="top" wrapText="1"/>
    </xf>
    <xf applyAlignment="1" borderId="0" fillId="0" fontId="0" numFmtId="0" pivotButton="0" quotePrefix="0" xfId="0">
      <alignment horizontal="left" vertical="top" wrapText="1"/>
    </xf>
    <xf applyAlignment="1" borderId="0" fillId="0" fontId="1" numFmtId="0" pivotButton="0" quotePrefix="0" xfId="0">
      <alignment horizontal="left"/>
    </xf>
    <xf applyAlignment="1" borderId="0" fillId="0" fontId="1" numFmtId="0" pivotButton="0" quotePrefix="0" xfId="0">
      <alignment horizontal="left" vertical="top"/>
    </xf>
    <xf applyAlignment="1" borderId="0" fillId="0" fontId="0" numFmtId="0" pivotButton="0" quotePrefix="0" xfId="0">
      <alignment horizontal="left" vertical="top"/>
    </xf>
    <xf applyAlignment="1" borderId="0" fillId="0" fontId="0" numFmtId="0" pivotButton="0" quotePrefix="0" xfId="0">
      <alignment vertical="top"/>
    </xf>
  </cellXfs>
  <cellStyles count="5">
    <cellStyle builtinId="0" name="Normal" xfId="0"/>
    <cellStyle builtinId="5" name="Percent" xfId="1"/>
    <cellStyle builtinId="8" name="Hyperlink" xfId="2"/>
    <cellStyle builtinId="28" name="Neutral" xfId="3"/>
    <cellStyle builtinId="22" name="Calculation" xfId="4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/xl/worksheets/sheet10.xml" Type="http://schemas.openxmlformats.org/officeDocument/2006/relationships/worksheet" /><Relationship Id="rId11" Target="/xl/worksheets/sheet11.xml" Type="http://schemas.openxmlformats.org/officeDocument/2006/relationships/worksheet" /><Relationship Id="rId12" Target="/xl/worksheets/sheet12.xml" Type="http://schemas.openxmlformats.org/officeDocument/2006/relationships/worksheet" /><Relationship Id="rId13" Target="/xl/worksheets/sheet13.xml" Type="http://schemas.openxmlformats.org/officeDocument/2006/relationships/worksheet" /><Relationship Id="rId14" Target="/xl/worksheets/sheet14.xml" Type="http://schemas.openxmlformats.org/officeDocument/2006/relationships/worksheet" /><Relationship Id="rId15" Target="/xl/worksheets/sheet15.xml" Type="http://schemas.openxmlformats.org/officeDocument/2006/relationships/worksheet" /><Relationship Id="rId16" Target="sharedStrings.xml" Type="http://schemas.openxmlformats.org/officeDocument/2006/relationships/sharedStrings" /><Relationship Id="rId17" Target="styles.xml" Type="http://schemas.openxmlformats.org/officeDocument/2006/relationships/styles" /><Relationship Id="rId18" Target="theme/theme1.xml" Type="http://schemas.openxmlformats.org/officeDocument/2006/relationships/theme" /><Relationship Id="rId19" Target="vbaProject.bin" Type="http://schemas.microsoft.com/office/2006/relationships/vbaProject" /></Relationships>
</file>

<file path=xl/comments/comment1.xml><?xml version="1.0" encoding="utf-8"?>
<comments xmlns="http://schemas.openxmlformats.org/spreadsheetml/2006/main">
  <authors>
    <author>Sander</author>
  </authors>
  <commentList>
    <comment authorId="0" ref="E5" shapeId="0">
      <text>
        <t>Sander:
Prijsniveaus CBS
tov 2000</t>
      </text>
    </comment>
  </commentList>
</comments>
</file>

<file path=xl/comments/comment2.xml><?xml version="1.0" encoding="utf-8"?>
<comments xmlns="http://schemas.openxmlformats.org/spreadsheetml/2006/main">
  <authors>
    <author>Sander</author>
  </authors>
  <commentList>
    <comment authorId="0" ref="D2" shapeId="0">
      <text>
        <t>Sander:
Based on Plancapaciteit</t>
      </text>
    </comment>
    <comment authorId="0" ref="E2" shapeId="0">
      <text>
        <t>Sander:
plus 25 %</t>
      </text>
    </comment>
    <comment authorId="0" ref="A5" shapeId="0">
      <text>
        <t>Sander:
Remove or find more details</t>
      </text>
    </comment>
  </commentList>
</comments>
</file>

<file path=xl/comments/comment3.xml><?xml version="1.0" encoding="utf-8"?>
<comments xmlns="http://schemas.openxmlformats.org/spreadsheetml/2006/main">
  <authors>
    <author>Sander</author>
    <author>Lenferink</author>
  </authors>
  <commentList>
    <comment authorId="0" ref="I1" shapeId="0">
      <text>
        <t>Sander:
afstand tot station?</t>
      </text>
    </comment>
    <comment authorId="0" ref="D2" shapeId="0">
      <text>
        <t>Sander:
Bestaand Bebouwd Gebied</t>
      </text>
    </comment>
    <comment authorId="0" ref="A5" shapeId="0">
      <text>
        <t>Sander:
Remove or find more details</t>
      </text>
    </comment>
    <comment authorId="1" ref="K5" shapeId="0">
      <text>
        <t>Lenferink:
walking due to no bus</t>
      </text>
    </comment>
    <comment authorId="1" ref="K6" shapeId="0">
      <text>
        <t>Lenferink:
To Purmerend</t>
      </text>
    </comment>
    <comment authorId="1" ref="I9" shapeId="0">
      <text>
        <t>Lenferink:
by bus
by bicycle: Purmerend Overwhere</t>
      </text>
    </comment>
    <comment authorId="1" ref="J9" shapeId="0">
      <text>
        <t>Lenferink:
Purmerend Overwhere 8700</t>
      </text>
    </comment>
    <comment authorId="1" ref="M9" shapeId="0">
      <text>
        <t>Lenferink:
Purmerend Overwhere</t>
      </text>
    </comment>
    <comment authorId="1" ref="J10" shapeId="0">
      <text>
        <t>Lenferink:
to purmerend Overwhere</t>
      </text>
    </comment>
    <comment authorId="1" ref="M10" shapeId="0">
      <text>
        <t>Lenferink:
purmerend overwhere</t>
      </text>
    </comment>
    <comment authorId="1" ref="J11" shapeId="0">
      <text>
        <t>Lenferink:
10000 m to Purmerend Overwhere</t>
      </text>
    </comment>
    <comment authorId="1" ref="M11" shapeId="0">
      <text>
        <t>Lenferink:
purmerend overwhere</t>
      </text>
    </comment>
    <comment authorId="1" ref="K17" shapeId="0">
      <text>
        <t>Lenferink:
walking</t>
      </text>
    </comment>
  </commentList>
</comments>
</file>

<file path=xl/comments/comment4.xml><?xml version="1.0" encoding="utf-8"?>
<comments xmlns="http://schemas.openxmlformats.org/spreadsheetml/2006/main">
  <authors>
    <author>Sander</author>
  </authors>
  <commentList>
    <comment authorId="0" ref="A3" shapeId="0">
      <text>
        <t>Sander:
Amsterdam is not playable, but relevant info</t>
      </text>
    </comment>
  </commentList>
</comments>
</file>

<file path=xl/comments/comment5.xml><?xml version="1.0" encoding="utf-8"?>
<comments xmlns="http://schemas.openxmlformats.org/spreadsheetml/2006/main">
  <authors>
    <author>Sander</author>
  </authors>
  <commentList>
    <comment authorId="0" ref="F1" shapeId="0">
      <text>
        <t>Sander:
see Infra Projects, still to be impleented in calculation of revenues</t>
      </text>
    </comment>
    <comment authorId="0" ref="E2" shapeId="0">
      <text>
        <t>Sander:
Bestaand Bebouwd Gebied</t>
      </text>
    </comment>
    <comment authorId="0" ref="H2" shapeId="0">
      <text>
        <t>Sander:
Based on Plancapaciteit</t>
      </text>
    </comment>
    <comment authorId="0" ref="I2" shapeId="0">
      <text>
        <t>Sander:
plus 25 %</t>
      </text>
    </comment>
    <comment authorId="0" ref="L2" shapeId="0">
      <text>
        <t>Sander:
Not more than max</t>
      </text>
    </comment>
    <comment authorId="0" ref="B5" shapeId="0">
      <text>
        <t>Sander:
Remove or find more details</t>
      </text>
    </comment>
  </commentList>
</comments>
</file>

<file path=xl/comments/comment6.xml><?xml version="1.0" encoding="utf-8"?>
<comments xmlns="http://schemas.openxmlformats.org/spreadsheetml/2006/main">
  <authors>
    <author>Lenferink</author>
    <author>Sander</author>
  </authors>
  <commentList>
    <comment authorId="0" ref="B1" shapeId="0">
      <text>
        <t>Lenferink:
cah-kaart.nl
Purmerend 2040
Zaanstad</t>
      </text>
    </comment>
    <comment authorId="1" ref="G6" shapeId="0">
      <text>
        <t>Sander:
avg 23-43</t>
      </text>
    </comment>
    <comment authorId="1" ref="G11" shapeId="0">
      <text>
        <t>Sander:
avg 33-60</t>
      </text>
    </comment>
    <comment authorId="1" ref="G13" shapeId="0">
      <text>
        <t>Sander:
avg 22-40</t>
      </text>
    </comment>
    <comment authorId="1" ref="G14" shapeId="0">
      <text>
        <t>Sander:
avg 21-39</t>
      </text>
    </comment>
    <comment authorId="1" ref="G16" shapeId="0">
      <text>
        <t>Sander:
avg 0,2-3</t>
      </text>
    </comment>
    <comment authorId="1" ref="G17" shapeId="0">
      <text>
        <t>Sander:
avg 0,2-3</t>
      </text>
    </comment>
    <comment authorId="0" ref="G18" shapeId="0">
      <text>
        <t>Lenferink:
bij rechttrekken: 120-220
bij verdiept: 290-540
avg 69-127</t>
      </text>
    </comment>
    <comment authorId="1" ref="G19" shapeId="0">
      <text>
        <t>Sander:
avg 8-14</t>
      </text>
    </comment>
    <comment authorId="1" ref="G21" shapeId="0">
      <text>
        <t>Sander:
avg 27-70</t>
      </text>
    </comment>
    <comment authorId="0" ref="G22" shapeId="0">
      <text>
        <t>Lenferink:
14M from zaanstad
avg 245-337</t>
      </text>
    </comment>
    <comment authorId="1" ref="G24" shapeId="0">
      <text>
        <t>Sander:
avg 3-16</t>
      </text>
    </comment>
    <comment authorId="1" ref="G25" shapeId="0">
      <text>
        <t>Sander:
avg 3-5</t>
      </text>
    </comment>
    <comment authorId="0" ref="AD25" shapeId="0">
      <text>
        <t>Lenferink:
??</t>
      </text>
    </comment>
    <comment authorId="1" ref="G26" shapeId="0">
      <text>
        <t>Sander:
avg 100-187</t>
      </text>
    </comment>
    <comment authorId="0" ref="G27" shapeId="0">
      <text>
        <t>Lenferink:
incl aansluiting Achtersluispolder
avg 12-21</t>
      </text>
    </comment>
    <comment authorId="1" ref="G29" shapeId="0">
      <text>
        <t>Sander:
avg 43-90</t>
      </text>
    </comment>
    <comment authorId="1" ref="G31" shapeId="0">
      <text>
        <t>Sander:
avg 0,28-0,52</t>
      </text>
    </comment>
    <comment authorId="1" ref="G34" shapeId="0">
      <text>
        <t>Sander:
avg 0,28
-0,52</t>
      </text>
    </comment>
    <comment authorId="1" ref="G37" shapeId="0">
      <text>
        <t>Sander:
avg 21-39</t>
      </text>
    </comment>
  </commentList>
</comments>
</file>

<file path=xl/comments/comment7.xml><?xml version="1.0" encoding="utf-8"?>
<comments xmlns="http://schemas.openxmlformats.org/spreadsheetml/2006/main">
  <authors>
    <author>Sander</author>
  </authors>
  <commentList>
    <comment authorId="0" ref="A2" shapeId="0">
      <text>
        <t>Sander:
excluded from the formulas</t>
      </text>
    </comment>
  </commentList>
</comments>
</file>

<file path=xl/comments/comment8.xml><?xml version="1.0" encoding="utf-8"?>
<comments xmlns="http://schemas.openxmlformats.org/spreadsheetml/2006/main">
  <authors>
    <author>Sander</author>
  </authors>
  <commentList>
    <comment authorId="0" ref="B1" shapeId="0">
      <text>
        <t>Sander:
Percentage hoge Transit accessibility in totaal</t>
      </text>
    </comment>
    <comment authorId="0" ref="E1" shapeId="0">
      <text>
        <t>Sander:
Percentage huizen BBG in totaal</t>
      </text>
    </comment>
    <comment authorId="0" ref="H1" shapeId="0">
      <text>
        <t>Sander:
percentage Rent in totaal</t>
      </text>
    </comment>
  </commentList>
</comments>
</file>

<file path=xl/comments/comment9.xml><?xml version="1.0" encoding="utf-8"?>
<comments xmlns="http://schemas.openxmlformats.org/spreadsheetml/2006/main">
  <authors>
    <author>Sander</author>
  </authors>
  <commentList>
    <comment authorId="0" ref="B1" shapeId="0">
      <text>
        <t>Sander:
excluded from the formulas</t>
      </text>
    </comment>
  </commentList>
</comments>
</file>

<file path=xl/comments/comment10.xml><?xml version="1.0" encoding="utf-8"?>
<comments xmlns="http://schemas.openxmlformats.org/spreadsheetml/2006/main">
  <authors>
    <author>Sander</author>
  </authors>
  <commentList>
    <comment authorId="0" ref="E2" shapeId="0">
      <text>
        <t>Sander:
Bestaand Bebouwd Gebied</t>
      </text>
    </comment>
    <comment authorId="0" ref="F2" shapeId="0">
      <text>
        <t>Sander:
afstand tot station?</t>
      </text>
    </comment>
    <comment authorId="0" ref="G2" shapeId="0">
      <text>
        <t>Sander:
see Infra Projects</t>
      </text>
    </comment>
    <comment authorId="0" ref="H2" shapeId="0">
      <text>
        <t>Sander:
Based on Plancapaciteit</t>
      </text>
    </comment>
    <comment authorId="0" ref="I2" shapeId="0">
      <text>
        <t>Sander:
plus 25 %</t>
      </text>
    </comment>
    <comment authorId="0" ref="P2" shapeId="0">
      <text>
        <t>Sander:
Not more than max</t>
      </text>
    </comment>
    <comment authorId="0" ref="B5" shapeId="0">
      <text>
        <t>Sander:
Remove or find more details</t>
      </text>
    </comment>
    <comment authorId="0" ref="E23" shapeId="0">
      <text>
        <t>Sander:
Prijsniveaus CBS
tov 2000</t>
      </text>
    </comment>
  </commentList>
</comment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comments" Target="/xl/comments/comment1.xml" Type="http://schemas.openxmlformats.org/officeDocument/2006/relationships/comments" /><Relationship Id="anysvml" Target="/xl/drawings/vmlDrawing1.vml" Type="http://schemas.openxmlformats.org/officeDocument/2006/relationships/vmlDrawing" /></Relationships>
</file>

<file path=xl/worksheets/_rels/sheet2.xml.rels><Relationships xmlns="http://schemas.openxmlformats.org/package/2006/relationships"><Relationship Id="comments" Target="/xl/comments/comment2.xml" Type="http://schemas.openxmlformats.org/officeDocument/2006/relationships/comments" /><Relationship Id="anysvml" Target="/xl/drawings/vmlDrawing2.vml" Type="http://schemas.openxmlformats.org/officeDocument/2006/relationships/vmlDrawing" /></Relationships>
</file>

<file path=xl/worksheets/_rels/sheet3.xml.rels><Relationships xmlns="http://schemas.openxmlformats.org/package/2006/relationships"><Relationship Id="comments" Target="/xl/comments/comment3.xml" Type="http://schemas.openxmlformats.org/officeDocument/2006/relationships/comments" /><Relationship Id="anysvml" Target="/xl/drawings/vmlDrawing3.vml" Type="http://schemas.openxmlformats.org/officeDocument/2006/relationships/vmlDrawing" /></Relationships>
</file>

<file path=xl/worksheets/_rels/sheet4.xml.rels><Relationships xmlns="http://schemas.openxmlformats.org/package/2006/relationships"><Relationship Id="comments" Target="/xl/comments/comment4.xml" Type="http://schemas.openxmlformats.org/officeDocument/2006/relationships/comments" /><Relationship Id="anysvml" Target="/xl/drawings/vmlDrawing4.vml" Type="http://schemas.openxmlformats.org/officeDocument/2006/relationships/vmlDrawing" /></Relationships>
</file>

<file path=xl/worksheets/_rels/sheet6.xml.rels><Relationships xmlns="http://schemas.openxmlformats.org/package/2006/relationships"><Relationship Id="comments" Target="/xl/comments/comment5.xml" Type="http://schemas.openxmlformats.org/officeDocument/2006/relationships/comments" /><Relationship Id="anysvml" Target="/xl/drawings/vmlDrawing5.vml" Type="http://schemas.openxmlformats.org/officeDocument/2006/relationships/vmlDrawing" /></Relationships>
</file>

<file path=xl/worksheets/_rels/sheet7.xml.rels><Relationships xmlns="http://schemas.openxmlformats.org/package/2006/relationships"><Relationship Id="comments" Target="/xl/comments/comment6.xml" Type="http://schemas.openxmlformats.org/officeDocument/2006/relationships/comments" /><Relationship Id="anysvml" Target="/xl/drawings/vmlDrawing6.vml" Type="http://schemas.openxmlformats.org/officeDocument/2006/relationships/vmlDrawing" /></Relationships>
</file>

<file path=xl/worksheets/_rels/sheet10.xml.rels><Relationships xmlns="http://schemas.openxmlformats.org/package/2006/relationships"><Relationship Id="comments" Target="/xl/comments/comment7.xml" Type="http://schemas.openxmlformats.org/officeDocument/2006/relationships/comments" /><Relationship Id="anysvml" Target="/xl/drawings/vmlDrawing7.vml" Type="http://schemas.openxmlformats.org/officeDocument/2006/relationships/vmlDrawing" /></Relationships>
</file>

<file path=xl/worksheets/_rels/sheet12.xml.rels><Relationships xmlns="http://schemas.openxmlformats.org/package/2006/relationships"><Relationship Id="comments" Target="/xl/comments/comment8.xml" Type="http://schemas.openxmlformats.org/officeDocument/2006/relationships/comments" /><Relationship Id="anysvml" Target="/xl/drawings/vmlDrawing8.vml" Type="http://schemas.openxmlformats.org/officeDocument/2006/relationships/vmlDrawing" /></Relationships>
</file>

<file path=xl/worksheets/_rels/sheet14.xml.rels><Relationships xmlns="http://schemas.openxmlformats.org/package/2006/relationships"><Relationship Id="comments" Target="/xl/comments/comment9.xml" Type="http://schemas.openxmlformats.org/officeDocument/2006/relationships/comments" /><Relationship Id="anysvml" Target="/xl/drawings/vmlDrawing9.vml" Type="http://schemas.openxmlformats.org/officeDocument/2006/relationships/vmlDrawing" /></Relationships>
</file>

<file path=xl/worksheets/_rels/sheet15.xml.rels><Relationships xmlns="http://schemas.openxmlformats.org/package/2006/relationships"><Relationship Id="comments" Target="/xl/comments/comment10.xml" Type="http://schemas.openxmlformats.org/officeDocument/2006/relationships/comments" /><Relationship Id="anysvml" Target="/xl/drawings/vmlDrawing10.vml" Type="http://schemas.openxmlformats.org/officeDocument/2006/relationships/vmlDrawing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 enableFormatConditionsCalculation="0">
    <tabColor theme="5"/>
    <outlinePr summaryBelow="1" summaryRight="1"/>
    <pageSetUpPr/>
  </sheetPr>
  <dimension ref="A1:I18"/>
  <sheetViews>
    <sheetView workbookViewId="0">
      <selection activeCell="F27" sqref="F27"/>
    </sheetView>
  </sheetViews>
  <sheetFormatPr baseColWidth="10" defaultColWidth="9.1640625" defaultRowHeight="15"/>
  <sheetData>
    <row r="1" spans="1:9">
      <c r="B1" t="s">
        <v>0</v>
      </c>
      <c r="E1" t="s">
        <v>1</v>
      </c>
    </row>
    <row r="2" spans="1:9"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</row>
    <row r="3" spans="1:9">
      <c r="A3" t="s">
        <v>9</v>
      </c>
      <c r="B3" t="n">
        <v>62600</v>
      </c>
      <c r="C3" t="n">
        <v>46900</v>
      </c>
      <c r="D3" t="n">
        <v>9500</v>
      </c>
      <c r="E3" s="20">
        <f>B3*E5</f>
        <v/>
      </c>
      <c r="F3" s="20">
        <f>C3*E5</f>
        <v/>
      </c>
      <c r="G3" s="20">
        <f>D3*E5</f>
        <v/>
      </c>
      <c r="H3" s="20">
        <f>F3-G3</f>
        <v/>
      </c>
    </row>
    <row r="4" spans="1:9">
      <c r="A4" t="s">
        <v>10</v>
      </c>
      <c r="B4" t="n">
        <v>59700</v>
      </c>
      <c r="C4" t="n">
        <v>66600</v>
      </c>
      <c r="D4" t="n">
        <v>11000</v>
      </c>
      <c r="E4" s="20">
        <f>B4*E5</f>
        <v/>
      </c>
      <c r="F4" s="20">
        <f>C4*E5</f>
        <v/>
      </c>
      <c r="G4" s="20">
        <f>D4*E5</f>
        <v/>
      </c>
      <c r="H4" s="20">
        <f>F4-G4</f>
        <v/>
      </c>
    </row>
    <row r="5" spans="1:9">
      <c r="B5" s="33" t="s">
        <v>11</v>
      </c>
      <c r="E5" s="34">
        <f>145.9/136</f>
        <v/>
      </c>
      <c r="F5" s="20" t="n"/>
    </row>
    <row r="6" spans="1:9">
      <c r="F6" s="20" t="n"/>
    </row>
    <row r="7" spans="1:9">
      <c r="B7" t="s">
        <v>12</v>
      </c>
      <c r="C7" t="s">
        <v>13</v>
      </c>
      <c r="D7" t="s">
        <v>14</v>
      </c>
      <c r="E7" s="20" t="s">
        <v>15</v>
      </c>
      <c r="F7" t="s">
        <v>16</v>
      </c>
      <c r="G7" t="s">
        <v>17</v>
      </c>
      <c r="H7" t="s">
        <v>18</v>
      </c>
      <c r="I7" t="s">
        <v>19</v>
      </c>
    </row>
    <row r="8" spans="1:9">
      <c r="A8" t="s">
        <v>20</v>
      </c>
      <c r="B8" t="n">
        <v>281721</v>
      </c>
      <c r="C8" s="32">
        <f>B8/B12*100</f>
        <v/>
      </c>
      <c r="D8" s="20">
        <f>$E$3*C8/100</f>
        <v/>
      </c>
      <c r="E8" s="20">
        <f>$F$3*C8/100</f>
        <v/>
      </c>
      <c r="F8" s="20">
        <f>$E$4*C8/100</f>
        <v/>
      </c>
      <c r="G8" s="20">
        <f>$F$4*C8/100</f>
        <v/>
      </c>
      <c r="H8" s="20">
        <f>$H$3*C8/100</f>
        <v/>
      </c>
      <c r="I8" s="20">
        <f>$H$4*C8/100</f>
        <v/>
      </c>
    </row>
    <row r="9" spans="1:9">
      <c r="A9" t="s">
        <v>21</v>
      </c>
      <c r="B9" t="n">
        <v>234005</v>
      </c>
      <c r="C9" s="32">
        <f>B9/B12*100</f>
        <v/>
      </c>
      <c r="D9" s="20">
        <f>$E$3*C9/100</f>
        <v/>
      </c>
      <c r="E9" s="20">
        <f>$F$3*C9/100</f>
        <v/>
      </c>
      <c r="F9" s="20">
        <f>$E$4*C9/100</f>
        <v/>
      </c>
      <c r="G9" s="20">
        <f>$F$4*C9/100</f>
        <v/>
      </c>
      <c r="H9" s="20">
        <f>$H$3*C9/100</f>
        <v/>
      </c>
      <c r="I9" s="20">
        <f>$H$4*C9/100</f>
        <v/>
      </c>
    </row>
    <row r="10" spans="1:9">
      <c r="A10" t="s">
        <v>22</v>
      </c>
      <c r="B10" t="n">
        <v>236098</v>
      </c>
      <c r="C10" s="32">
        <f>B10/B12*100</f>
        <v/>
      </c>
      <c r="D10" s="20">
        <f>$E$3*C10/100</f>
        <v/>
      </c>
      <c r="E10" s="20">
        <f>$F$3*C10/100</f>
        <v/>
      </c>
      <c r="F10" s="20">
        <f>$E$4*C10/100</f>
        <v/>
      </c>
      <c r="G10" s="20">
        <f>$F$4*C10/100</f>
        <v/>
      </c>
      <c r="H10" s="20">
        <f>$H$3*C10/100</f>
        <v/>
      </c>
      <c r="I10" s="20">
        <f>$H$4*C10/100</f>
        <v/>
      </c>
    </row>
    <row r="11" spans="1:9">
      <c r="A11" t="s">
        <v>23</v>
      </c>
      <c r="B11" t="n">
        <v>236187</v>
      </c>
      <c r="C11" s="32">
        <f>B11/B12*100</f>
        <v/>
      </c>
      <c r="D11" s="20">
        <f>$E$3*C11/100</f>
        <v/>
      </c>
      <c r="E11" s="20">
        <f>$F$3*C11/100</f>
        <v/>
      </c>
      <c r="F11" s="20">
        <f>$E$4*C11/100</f>
        <v/>
      </c>
      <c r="G11" s="20">
        <f>$F$4*C11/100</f>
        <v/>
      </c>
      <c r="H11" s="20">
        <f>$H$3*C11/100</f>
        <v/>
      </c>
      <c r="I11" s="20">
        <f>$H$4*C11/100</f>
        <v/>
      </c>
    </row>
    <row r="12" spans="1:9">
      <c r="A12" t="s">
        <v>24</v>
      </c>
      <c r="B12" t="n">
        <v>333082</v>
      </c>
      <c r="C12" t="n">
        <v>100</v>
      </c>
      <c r="D12" s="20">
        <f>$E$3*C12/100</f>
        <v/>
      </c>
      <c r="E12" s="20">
        <f>$F$3*C12/100</f>
        <v/>
      </c>
      <c r="F12" s="20">
        <f>$E$4*C12/100</f>
        <v/>
      </c>
      <c r="G12" s="20">
        <f>$F$4*C12/100</f>
        <v/>
      </c>
      <c r="H12" s="20">
        <f>$H$3*C12/100</f>
        <v/>
      </c>
      <c r="I12" s="20">
        <f>$H$4*C12/100</f>
        <v/>
      </c>
    </row>
    <row r="13" spans="1:9">
      <c r="B13" s="33" t="s">
        <v>25</v>
      </c>
    </row>
    <row r="15" spans="1:9">
      <c r="B15" t="s">
        <v>26</v>
      </c>
      <c r="C15" t="s">
        <v>27</v>
      </c>
    </row>
    <row r="16" spans="1:9">
      <c r="A16" t="s">
        <v>28</v>
      </c>
      <c r="B16" t="n">
        <v>86000</v>
      </c>
      <c r="C16" s="20">
        <f>B16*(C18/B18)</f>
        <v/>
      </c>
    </row>
    <row r="17" spans="1:9">
      <c r="A17" t="s">
        <v>29</v>
      </c>
      <c r="B17" t="n">
        <v>129000</v>
      </c>
      <c r="C17" s="20">
        <f>B17*(C18/B18)</f>
        <v/>
      </c>
    </row>
    <row r="18" spans="1:9">
      <c r="B18" t="n">
        <v>98.7</v>
      </c>
      <c r="C18" t="n">
        <v>103.9</v>
      </c>
    </row>
  </sheetData>
  <pageMargins bottom="0.75" footer="0.3" header="0.3" left="0.7" right="0.7" top="0.75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 enableFormatConditionsCalculation="0">
    <tabColor theme="5"/>
    <outlinePr summaryBelow="1" summaryRight="1"/>
    <pageSetUpPr/>
  </sheetPr>
  <dimension ref="A1:I17"/>
  <sheetViews>
    <sheetView workbookViewId="0">
      <selection activeCell="C35" sqref="C35"/>
    </sheetView>
  </sheetViews>
  <sheetFormatPr baseColWidth="10" defaultColWidth="9.1640625" defaultRowHeight="15" outlineLevelCol="0"/>
  <cols>
    <col bestFit="1" customWidth="1" max="1" min="1" style="46" width="42.33203125"/>
    <col customWidth="1" max="2" min="2" style="46" width="15.1640625"/>
  </cols>
  <sheetData>
    <row r="1" spans="1:9">
      <c r="A1" s="13" t="n"/>
      <c r="F1" t="s">
        <v>30</v>
      </c>
      <c r="G1" t="s">
        <v>31</v>
      </c>
      <c r="H1" t="s">
        <v>32</v>
      </c>
      <c r="I1" t="s">
        <v>33</v>
      </c>
    </row>
    <row r="2" spans="1:9">
      <c r="A2" t="s">
        <v>34</v>
      </c>
      <c r="B2" t="s">
        <v>35</v>
      </c>
      <c r="C2" t="s">
        <v>36</v>
      </c>
      <c r="D2" t="s">
        <v>37</v>
      </c>
      <c r="E2" t="s">
        <v>38</v>
      </c>
      <c r="F2" t="s">
        <v>39</v>
      </c>
      <c r="G2" t="s">
        <v>39</v>
      </c>
      <c r="H2" t="s">
        <v>39</v>
      </c>
      <c r="I2" t="s">
        <v>40</v>
      </c>
    </row>
    <row r="3" spans="1:9">
      <c r="A3" t="s">
        <v>41</v>
      </c>
      <c r="B3" t="s">
        <v>21</v>
      </c>
      <c r="C3" t="s">
        <v>42</v>
      </c>
      <c r="D3" t="n">
        <v>1400</v>
      </c>
      <c r="E3" s="20">
        <f>D3*1.25</f>
        <v/>
      </c>
      <c r="F3" t="n">
        <v>300</v>
      </c>
      <c r="G3" t="n">
        <v>620</v>
      </c>
      <c r="H3" t="n">
        <v>480</v>
      </c>
      <c r="I3" t="n">
        <v>0</v>
      </c>
    </row>
    <row r="4" spans="1:9">
      <c r="A4" t="s">
        <v>43</v>
      </c>
      <c r="B4" t="s">
        <v>22</v>
      </c>
      <c r="C4" t="s">
        <v>44</v>
      </c>
      <c r="D4" t="n">
        <v>1200</v>
      </c>
      <c r="E4" s="20">
        <f>D4*1.25</f>
        <v/>
      </c>
      <c r="F4" t="n">
        <v>0</v>
      </c>
      <c r="G4" t="n">
        <v>100</v>
      </c>
      <c r="H4" t="n">
        <v>1100</v>
      </c>
      <c r="I4" t="n">
        <v>0</v>
      </c>
    </row>
    <row r="5" spans="1:9">
      <c r="A5" t="s">
        <v>45</v>
      </c>
      <c r="B5" t="s">
        <v>22</v>
      </c>
      <c r="C5" t="s">
        <v>44</v>
      </c>
      <c r="D5" t="n">
        <v>1200</v>
      </c>
      <c r="E5" s="20">
        <f>D5*1.25</f>
        <v/>
      </c>
      <c r="F5" t="n">
        <v>0</v>
      </c>
      <c r="G5" t="n">
        <v>0</v>
      </c>
      <c r="H5" t="n">
        <v>1200</v>
      </c>
      <c r="I5" t="n">
        <v>0</v>
      </c>
    </row>
    <row r="6" spans="1:9">
      <c r="A6" t="s">
        <v>46</v>
      </c>
      <c r="B6" t="s">
        <v>22</v>
      </c>
      <c r="C6" t="s">
        <v>44</v>
      </c>
      <c r="D6" t="n">
        <v>690</v>
      </c>
      <c r="E6" s="20">
        <f>D6*1.25</f>
        <v/>
      </c>
      <c r="F6" t="n">
        <v>240</v>
      </c>
      <c r="G6" t="n">
        <v>450</v>
      </c>
      <c r="H6" t="n">
        <v>0</v>
      </c>
      <c r="I6" t="n">
        <v>0</v>
      </c>
    </row>
    <row r="7" spans="1:9">
      <c r="A7" t="s">
        <v>47</v>
      </c>
      <c r="B7" t="s">
        <v>22</v>
      </c>
      <c r="C7" t="s">
        <v>44</v>
      </c>
      <c r="D7" t="n">
        <v>300</v>
      </c>
      <c r="E7" s="20">
        <f>D7*1.25</f>
        <v/>
      </c>
      <c r="F7" t="n">
        <v>0</v>
      </c>
      <c r="G7" t="n">
        <v>300</v>
      </c>
      <c r="H7" t="n">
        <v>0</v>
      </c>
      <c r="I7" t="n">
        <v>0</v>
      </c>
    </row>
    <row r="8" spans="1:9">
      <c r="A8" t="s">
        <v>48</v>
      </c>
      <c r="B8" t="s">
        <v>22</v>
      </c>
      <c r="C8" t="s">
        <v>44</v>
      </c>
      <c r="D8" t="n">
        <v>300</v>
      </c>
      <c r="E8" s="20">
        <f>D8*1.25</f>
        <v/>
      </c>
      <c r="F8" t="n">
        <v>120</v>
      </c>
      <c r="G8" t="n">
        <v>180</v>
      </c>
      <c r="H8" t="n">
        <v>0</v>
      </c>
      <c r="I8" t="n">
        <v>0</v>
      </c>
    </row>
    <row r="9" spans="1:9">
      <c r="A9" t="s">
        <v>49</v>
      </c>
      <c r="B9" t="s">
        <v>20</v>
      </c>
      <c r="C9" t="s">
        <v>50</v>
      </c>
      <c r="D9" t="n">
        <v>740</v>
      </c>
      <c r="E9" s="20">
        <f>D9*1.25</f>
        <v/>
      </c>
      <c r="F9" t="n">
        <v>0</v>
      </c>
      <c r="G9" t="n">
        <v>360</v>
      </c>
      <c r="H9" t="n">
        <v>380</v>
      </c>
      <c r="I9" t="n">
        <v>0</v>
      </c>
    </row>
    <row r="10" spans="1:9">
      <c r="A10" t="s">
        <v>51</v>
      </c>
      <c r="B10" t="s">
        <v>20</v>
      </c>
      <c r="C10" t="s">
        <v>50</v>
      </c>
      <c r="D10" t="n">
        <v>82</v>
      </c>
      <c r="E10" s="20">
        <f>D10*1.25</f>
        <v/>
      </c>
      <c r="F10" t="n">
        <v>82</v>
      </c>
      <c r="G10" t="n">
        <v>0</v>
      </c>
      <c r="H10" t="n">
        <v>0</v>
      </c>
      <c r="I10" t="n">
        <v>0</v>
      </c>
    </row>
    <row r="11" spans="1:9">
      <c r="A11" t="s">
        <v>52</v>
      </c>
      <c r="B11" t="s">
        <v>20</v>
      </c>
      <c r="C11" t="s">
        <v>50</v>
      </c>
      <c r="D11" t="n">
        <v>483</v>
      </c>
      <c r="E11" s="20">
        <f>D11*1.25</f>
        <v/>
      </c>
      <c r="F11" t="n">
        <v>227</v>
      </c>
      <c r="G11" t="n">
        <v>256</v>
      </c>
      <c r="H11" t="n">
        <v>0</v>
      </c>
      <c r="I11" t="n">
        <v>0</v>
      </c>
    </row>
    <row r="12" spans="1:9">
      <c r="A12" t="s">
        <v>53</v>
      </c>
      <c r="B12" t="s">
        <v>23</v>
      </c>
      <c r="C12" t="s">
        <v>54</v>
      </c>
      <c r="D12" t="n">
        <v>8500</v>
      </c>
      <c r="E12" s="20">
        <f>D12*1.25</f>
        <v/>
      </c>
      <c r="F12" t="n">
        <v>0</v>
      </c>
      <c r="G12" t="n">
        <v>500</v>
      </c>
      <c r="H12" t="n">
        <v>2000</v>
      </c>
      <c r="I12" t="n">
        <v>6000</v>
      </c>
    </row>
    <row r="13" spans="1:9">
      <c r="A13" t="s">
        <v>55</v>
      </c>
      <c r="B13" t="s">
        <v>23</v>
      </c>
      <c r="C13" t="s">
        <v>54</v>
      </c>
      <c r="D13" t="n">
        <v>1000</v>
      </c>
      <c r="E13" s="20">
        <f>D13*1.25</f>
        <v/>
      </c>
      <c r="F13" t="n">
        <v>0</v>
      </c>
      <c r="G13" t="n">
        <v>500</v>
      </c>
      <c r="H13" t="n">
        <v>500</v>
      </c>
      <c r="I13" t="n">
        <v>0</v>
      </c>
    </row>
    <row r="14" spans="1:9">
      <c r="A14" t="s">
        <v>56</v>
      </c>
      <c r="B14" t="s">
        <v>23</v>
      </c>
      <c r="C14" t="s">
        <v>57</v>
      </c>
      <c r="D14" t="n">
        <v>3000</v>
      </c>
      <c r="E14" s="20">
        <f>D14*1.25</f>
        <v/>
      </c>
      <c r="F14" t="n">
        <v>400</v>
      </c>
      <c r="G14" t="n">
        <v>500</v>
      </c>
      <c r="H14" t="n">
        <v>1000</v>
      </c>
      <c r="I14" t="n">
        <v>1100</v>
      </c>
    </row>
    <row r="15" spans="1:9">
      <c r="A15" t="s">
        <v>58</v>
      </c>
      <c r="B15" t="s">
        <v>23</v>
      </c>
      <c r="C15" t="s">
        <v>54</v>
      </c>
      <c r="D15" t="n">
        <v>1000</v>
      </c>
      <c r="E15" s="20">
        <f>D15*1.25</f>
        <v/>
      </c>
      <c r="F15" t="n">
        <v>0</v>
      </c>
      <c r="G15" t="n">
        <v>500</v>
      </c>
      <c r="H15" t="n">
        <v>500</v>
      </c>
      <c r="I15" t="n">
        <v>0</v>
      </c>
    </row>
    <row r="16" spans="1:9">
      <c r="A16" t="s">
        <v>59</v>
      </c>
      <c r="B16" t="s">
        <v>23</v>
      </c>
      <c r="C16" t="s">
        <v>57</v>
      </c>
      <c r="D16" t="n">
        <v>1000</v>
      </c>
      <c r="E16" s="20">
        <f>D16*1.25</f>
        <v/>
      </c>
      <c r="F16" t="n">
        <v>0</v>
      </c>
      <c r="G16" t="n">
        <v>50</v>
      </c>
      <c r="H16" t="n">
        <v>200</v>
      </c>
      <c r="I16" t="n">
        <v>750</v>
      </c>
    </row>
    <row r="17" spans="1:9">
      <c r="A17" t="s">
        <v>60</v>
      </c>
      <c r="B17" t="s">
        <v>23</v>
      </c>
      <c r="C17" t="s">
        <v>57</v>
      </c>
      <c r="D17" t="n">
        <v>844</v>
      </c>
      <c r="E17" s="20">
        <f>D17*1.25</f>
        <v/>
      </c>
      <c r="F17" t="n">
        <v>122</v>
      </c>
      <c r="G17" t="n">
        <v>722</v>
      </c>
      <c r="H17" t="n">
        <v>0</v>
      </c>
      <c r="I17" t="n">
        <v>0</v>
      </c>
    </row>
  </sheetData>
  <pageMargins bottom="0.75" footer="0.3" header="0.3" left="0.7" right="0.7" top="0.75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 enableFormatConditionsCalculation="0">
    <tabColor theme="5"/>
    <outlinePr summaryBelow="1" summaryRight="1"/>
    <pageSetUpPr/>
  </sheetPr>
  <dimension ref="A1:P17"/>
  <sheetViews>
    <sheetView workbookViewId="0">
      <selection activeCell="P22" sqref="P22"/>
    </sheetView>
  </sheetViews>
  <sheetFormatPr baseColWidth="10" defaultColWidth="9.1640625" defaultRowHeight="15" outlineLevelCol="0"/>
  <cols>
    <col bestFit="1" customWidth="1" max="1" min="1" style="46" width="42.33203125"/>
    <col bestFit="1" customWidth="1" max="2" min="2" style="46" width="15.83203125"/>
    <col customWidth="1" max="5" min="5" style="46" width="18.5"/>
    <col bestFit="1" customWidth="1" max="13" min="13" style="46" width="11.6640625"/>
    <col bestFit="1" customWidth="1" max="14" min="14" style="46" width="15.83203125"/>
  </cols>
  <sheetData>
    <row r="1" spans="1:16">
      <c r="A1" s="13" t="n"/>
      <c r="E1" s="13" t="s">
        <v>61</v>
      </c>
      <c r="I1" s="13" t="s">
        <v>62</v>
      </c>
      <c r="O1" t="s">
        <v>63</v>
      </c>
    </row>
    <row r="2" spans="1:16">
      <c r="A2" t="s">
        <v>34</v>
      </c>
      <c r="B2" t="s">
        <v>35</v>
      </c>
      <c r="C2" t="s">
        <v>36</v>
      </c>
      <c r="D2" t="s">
        <v>9</v>
      </c>
      <c r="E2" t="s">
        <v>64</v>
      </c>
      <c r="F2" t="s">
        <v>65</v>
      </c>
      <c r="G2" t="s">
        <v>66</v>
      </c>
      <c r="H2" t="s">
        <v>63</v>
      </c>
      <c r="I2" t="s">
        <v>67</v>
      </c>
      <c r="J2" t="s">
        <v>65</v>
      </c>
      <c r="K2" t="s">
        <v>68</v>
      </c>
      <c r="L2" t="s">
        <v>63</v>
      </c>
      <c r="M2" t="s">
        <v>69</v>
      </c>
      <c r="N2" t="s">
        <v>63</v>
      </c>
      <c r="O2" t="s">
        <v>70</v>
      </c>
      <c r="P2" t="s">
        <v>71</v>
      </c>
    </row>
    <row r="3" spans="1:16">
      <c r="A3" t="s">
        <v>41</v>
      </c>
      <c r="B3" t="s">
        <v>21</v>
      </c>
      <c r="C3" t="s">
        <v>42</v>
      </c>
      <c r="D3" t="n">
        <v>1</v>
      </c>
      <c r="E3" t="s">
        <v>72</v>
      </c>
      <c r="F3" t="n">
        <v>1000</v>
      </c>
      <c r="G3" t="n">
        <v>1</v>
      </c>
      <c r="H3">
        <f>1/G3</f>
        <v/>
      </c>
      <c r="I3" t="s">
        <v>73</v>
      </c>
      <c r="J3" t="n">
        <v>3000</v>
      </c>
      <c r="K3" t="n">
        <v>23</v>
      </c>
      <c r="L3">
        <f>1/K3</f>
        <v/>
      </c>
      <c r="M3" t="n">
        <v>9</v>
      </c>
      <c r="N3">
        <f>1/M3</f>
        <v/>
      </c>
      <c r="O3">
        <f>N3/2+L3/2</f>
        <v/>
      </c>
      <c r="P3">
        <f>H3/2+L3/2+N3/2</f>
        <v/>
      </c>
    </row>
    <row r="4" spans="1:16">
      <c r="A4" t="s">
        <v>43</v>
      </c>
      <c r="B4" t="s">
        <v>22</v>
      </c>
      <c r="C4" t="s">
        <v>44</v>
      </c>
      <c r="D4" t="n">
        <v>0</v>
      </c>
      <c r="E4" t="s">
        <v>74</v>
      </c>
      <c r="F4" t="n">
        <v>1000</v>
      </c>
      <c r="G4" t="n">
        <v>1</v>
      </c>
      <c r="H4">
        <f>1/G4</f>
        <v/>
      </c>
      <c r="I4" t="s">
        <v>22</v>
      </c>
      <c r="J4" t="n">
        <v>3500</v>
      </c>
      <c r="K4" t="n">
        <v>20</v>
      </c>
      <c r="L4">
        <f>1/K4</f>
        <v/>
      </c>
      <c r="M4" t="n">
        <v>11</v>
      </c>
      <c r="N4">
        <f>1/M4</f>
        <v/>
      </c>
      <c r="O4">
        <f>N4/2+L4/2</f>
        <v/>
      </c>
      <c r="P4">
        <f>H4/2+L4/2+N4/2</f>
        <v/>
      </c>
    </row>
    <row r="5" spans="1:16">
      <c r="A5" t="s">
        <v>45</v>
      </c>
      <c r="B5" t="s">
        <v>22</v>
      </c>
      <c r="C5" t="s">
        <v>44</v>
      </c>
      <c r="D5" t="n">
        <v>0</v>
      </c>
      <c r="E5" t="s">
        <v>75</v>
      </c>
      <c r="F5" t="n">
        <v>500</v>
      </c>
      <c r="G5" t="n">
        <v>1</v>
      </c>
      <c r="H5">
        <f>1/G5</f>
        <v/>
      </c>
      <c r="I5" t="s">
        <v>76</v>
      </c>
      <c r="J5" t="n">
        <v>2100</v>
      </c>
      <c r="K5" t="n">
        <v>20</v>
      </c>
      <c r="L5">
        <f>1/K5</f>
        <v/>
      </c>
      <c r="M5" t="n">
        <v>7</v>
      </c>
      <c r="N5">
        <f>1/M5</f>
        <v/>
      </c>
      <c r="O5">
        <f>N5/2+L5/2</f>
        <v/>
      </c>
      <c r="P5">
        <f>H5/2+L5/2+N5/2</f>
        <v/>
      </c>
    </row>
    <row r="6" spans="1:16">
      <c r="A6" t="s">
        <v>46</v>
      </c>
      <c r="B6" t="s">
        <v>22</v>
      </c>
      <c r="C6" t="s">
        <v>44</v>
      </c>
      <c r="D6" t="n">
        <v>0</v>
      </c>
      <c r="E6" t="s">
        <v>77</v>
      </c>
      <c r="F6" t="n">
        <v>1500</v>
      </c>
      <c r="G6" t="n">
        <v>5</v>
      </c>
      <c r="H6">
        <f>1/G6</f>
        <v/>
      </c>
      <c r="I6" t="s">
        <v>78</v>
      </c>
      <c r="J6" t="n">
        <v>2500</v>
      </c>
      <c r="K6" t="n">
        <v>17</v>
      </c>
      <c r="L6">
        <f>1/K6</f>
        <v/>
      </c>
      <c r="M6" t="n">
        <v>7</v>
      </c>
      <c r="N6">
        <f>1/M6</f>
        <v/>
      </c>
      <c r="O6">
        <f>N6/2+L6/2</f>
        <v/>
      </c>
      <c r="P6">
        <f>H6/2+L6/2+N6/2</f>
        <v/>
      </c>
    </row>
    <row r="7" spans="1:16">
      <c r="A7" t="s">
        <v>47</v>
      </c>
      <c r="B7" t="s">
        <v>22</v>
      </c>
      <c r="C7" t="s">
        <v>44</v>
      </c>
      <c r="D7" t="n">
        <v>1</v>
      </c>
      <c r="E7" t="s">
        <v>79</v>
      </c>
      <c r="F7" t="n">
        <v>1000</v>
      </c>
      <c r="G7" t="n">
        <v>3</v>
      </c>
      <c r="H7">
        <f>1/G7</f>
        <v/>
      </c>
      <c r="I7" t="s">
        <v>78</v>
      </c>
      <c r="J7" t="n">
        <v>2100</v>
      </c>
      <c r="K7" t="n">
        <v>14</v>
      </c>
      <c r="L7">
        <f>1/K7</f>
        <v/>
      </c>
      <c r="M7" t="n">
        <v>7</v>
      </c>
      <c r="N7">
        <f>1/M7</f>
        <v/>
      </c>
      <c r="O7">
        <f>N7/2+L7/2</f>
        <v/>
      </c>
      <c r="P7">
        <f>H7/2+L7/2+N7/2</f>
        <v/>
      </c>
    </row>
    <row r="8" spans="1:16">
      <c r="A8" t="s">
        <v>48</v>
      </c>
      <c r="B8" t="s">
        <v>22</v>
      </c>
      <c r="C8" t="s">
        <v>44</v>
      </c>
      <c r="D8" t="n">
        <v>0</v>
      </c>
      <c r="E8" t="s">
        <v>22</v>
      </c>
      <c r="F8" t="n">
        <v>1000</v>
      </c>
      <c r="G8" t="n">
        <v>3</v>
      </c>
      <c r="H8">
        <f>1/G8</f>
        <v/>
      </c>
      <c r="I8" t="s">
        <v>22</v>
      </c>
      <c r="J8" t="n">
        <v>1800</v>
      </c>
      <c r="K8" t="n">
        <v>14</v>
      </c>
      <c r="L8">
        <f>1/K8</f>
        <v/>
      </c>
      <c r="M8" t="n">
        <v>7</v>
      </c>
      <c r="N8">
        <f>1/M8</f>
        <v/>
      </c>
      <c r="O8">
        <f>N8/2+L8/2</f>
        <v/>
      </c>
      <c r="P8">
        <f>H8/2+L8/2+N8/2</f>
        <v/>
      </c>
    </row>
    <row r="9" spans="1:16">
      <c r="A9" t="s">
        <v>49</v>
      </c>
      <c r="B9" t="s">
        <v>20</v>
      </c>
      <c r="C9" t="s">
        <v>50</v>
      </c>
      <c r="D9" t="n">
        <v>0</v>
      </c>
      <c r="E9" t="s">
        <v>80</v>
      </c>
      <c r="F9" t="n">
        <v>1500</v>
      </c>
      <c r="G9" t="n">
        <v>3</v>
      </c>
      <c r="H9">
        <f>1/G9</f>
        <v/>
      </c>
      <c r="I9" t="s">
        <v>81</v>
      </c>
      <c r="J9" t="n">
        <v>32000</v>
      </c>
      <c r="K9" t="n">
        <v>38</v>
      </c>
      <c r="L9">
        <f>1/K9</f>
        <v/>
      </c>
      <c r="M9" t="n">
        <v>27</v>
      </c>
      <c r="N9">
        <f>1/M9</f>
        <v/>
      </c>
      <c r="O9">
        <f>N9/2+L9/2</f>
        <v/>
      </c>
      <c r="P9">
        <f>H9/2+L9/2+N9/2</f>
        <v/>
      </c>
    </row>
    <row r="10" spans="1:16">
      <c r="A10" t="s">
        <v>51</v>
      </c>
      <c r="B10" t="s">
        <v>20</v>
      </c>
      <c r="C10" t="s">
        <v>50</v>
      </c>
      <c r="D10" t="n">
        <v>0</v>
      </c>
      <c r="E10" t="s">
        <v>82</v>
      </c>
      <c r="F10" t="n">
        <v>1500</v>
      </c>
      <c r="G10" t="n">
        <v>4</v>
      </c>
      <c r="H10">
        <f>1/G10</f>
        <v/>
      </c>
      <c r="I10" t="s">
        <v>22</v>
      </c>
      <c r="J10" t="n">
        <v>8800</v>
      </c>
      <c r="K10" t="n">
        <v>43</v>
      </c>
      <c r="L10">
        <f>1/K10</f>
        <v/>
      </c>
      <c r="M10" t="n">
        <v>26</v>
      </c>
      <c r="N10">
        <f>1/M10</f>
        <v/>
      </c>
      <c r="O10">
        <f>N10/2+L10/2</f>
        <v/>
      </c>
      <c r="P10">
        <f>H10/2+L10/2+N10/2</f>
        <v/>
      </c>
    </row>
    <row r="11" spans="1:16">
      <c r="A11" t="s">
        <v>52</v>
      </c>
      <c r="B11" t="s">
        <v>20</v>
      </c>
      <c r="C11" t="s">
        <v>50</v>
      </c>
      <c r="D11" t="n">
        <v>1</v>
      </c>
      <c r="E11" t="s">
        <v>82</v>
      </c>
      <c r="F11" t="n">
        <v>3500</v>
      </c>
      <c r="G11" t="n">
        <v>7</v>
      </c>
      <c r="H11">
        <f>1/G11</f>
        <v/>
      </c>
      <c r="I11" t="s">
        <v>22</v>
      </c>
      <c r="J11" t="n">
        <v>13000</v>
      </c>
      <c r="K11" t="n">
        <v>43</v>
      </c>
      <c r="L11">
        <f>1/K11</f>
        <v/>
      </c>
      <c r="M11" t="n">
        <v>30</v>
      </c>
      <c r="N11">
        <f>1/M11</f>
        <v/>
      </c>
      <c r="O11">
        <f>N11/2+L11/2</f>
        <v/>
      </c>
      <c r="P11">
        <f>H11/2+L11/2+N11/2</f>
        <v/>
      </c>
    </row>
    <row r="12" spans="1:16">
      <c r="A12" t="s">
        <v>53</v>
      </c>
      <c r="B12" t="s">
        <v>23</v>
      </c>
      <c r="C12" t="s">
        <v>54</v>
      </c>
      <c r="D12" t="n">
        <v>1</v>
      </c>
      <c r="E12" t="s">
        <v>83</v>
      </c>
      <c r="F12" t="n">
        <v>1500</v>
      </c>
      <c r="G12" t="n">
        <v>2</v>
      </c>
      <c r="H12">
        <f>1/G12</f>
        <v/>
      </c>
      <c r="I12" t="s">
        <v>84</v>
      </c>
      <c r="J12" t="n">
        <v>4500</v>
      </c>
      <c r="K12" t="n">
        <v>25</v>
      </c>
      <c r="L12">
        <f>1/K12</f>
        <v/>
      </c>
      <c r="M12" t="n">
        <v>15</v>
      </c>
      <c r="N12">
        <f>1/M12</f>
        <v/>
      </c>
      <c r="O12">
        <f>N12/2+L12/2</f>
        <v/>
      </c>
      <c r="P12">
        <f>H12/2+L12/2+N12/2</f>
        <v/>
      </c>
    </row>
    <row r="13" spans="1:16">
      <c r="A13" t="s">
        <v>55</v>
      </c>
      <c r="B13" t="s">
        <v>23</v>
      </c>
      <c r="C13" t="s">
        <v>54</v>
      </c>
      <c r="D13" t="n">
        <v>1</v>
      </c>
      <c r="E13" t="s">
        <v>83</v>
      </c>
      <c r="F13" t="n">
        <v>3300</v>
      </c>
      <c r="G13" t="n">
        <v>5</v>
      </c>
      <c r="H13">
        <f>1/G13</f>
        <v/>
      </c>
      <c r="I13" t="s">
        <v>84</v>
      </c>
      <c r="J13" t="n">
        <v>2300</v>
      </c>
      <c r="K13" t="n">
        <v>16</v>
      </c>
      <c r="L13">
        <f>1/K13</f>
        <v/>
      </c>
      <c r="M13" t="n">
        <v>8</v>
      </c>
      <c r="N13">
        <f>1/M13</f>
        <v/>
      </c>
      <c r="O13">
        <f>N13/2+L13/2</f>
        <v/>
      </c>
      <c r="P13">
        <f>H13/2+L13/2+N13/2</f>
        <v/>
      </c>
    </row>
    <row r="14" spans="1:16">
      <c r="A14" t="s">
        <v>56</v>
      </c>
      <c r="B14" t="s">
        <v>23</v>
      </c>
      <c r="C14" t="s">
        <v>57</v>
      </c>
      <c r="D14" t="n">
        <v>1</v>
      </c>
      <c r="E14" t="s">
        <v>85</v>
      </c>
      <c r="F14" t="n">
        <v>1800</v>
      </c>
      <c r="G14" t="n">
        <v>4</v>
      </c>
      <c r="H14">
        <f>1/G14</f>
        <v/>
      </c>
      <c r="I14" t="s">
        <v>86</v>
      </c>
      <c r="J14" t="n">
        <v>350</v>
      </c>
      <c r="K14" t="n">
        <v>4</v>
      </c>
      <c r="L14">
        <f>1/K14</f>
        <v/>
      </c>
      <c r="M14" t="n">
        <v>1</v>
      </c>
      <c r="N14">
        <f>1/M14</f>
        <v/>
      </c>
      <c r="O14">
        <f>N14/2+L14/2</f>
        <v/>
      </c>
      <c r="P14">
        <f>H14/2+L14/2+N14/2</f>
        <v/>
      </c>
    </row>
    <row r="15" spans="1:16">
      <c r="A15" t="s">
        <v>58</v>
      </c>
      <c r="B15" t="s">
        <v>23</v>
      </c>
      <c r="C15" t="s">
        <v>54</v>
      </c>
      <c r="D15" t="n">
        <v>1</v>
      </c>
      <c r="E15" t="s">
        <v>85</v>
      </c>
      <c r="F15" t="n">
        <v>2700</v>
      </c>
      <c r="G15" t="n">
        <v>7</v>
      </c>
      <c r="H15">
        <f>1/G15</f>
        <v/>
      </c>
      <c r="I15" t="s">
        <v>84</v>
      </c>
      <c r="J15" t="n">
        <v>1200</v>
      </c>
      <c r="K15" t="n">
        <v>10</v>
      </c>
      <c r="L15">
        <f>1/K15</f>
        <v/>
      </c>
      <c r="M15" t="n">
        <v>4</v>
      </c>
      <c r="N15">
        <f>1/M15</f>
        <v/>
      </c>
      <c r="O15">
        <f>N15/2+L15/2</f>
        <v/>
      </c>
      <c r="P15">
        <f>H15/2+L15/2+N15/2</f>
        <v/>
      </c>
    </row>
    <row r="16" spans="1:16">
      <c r="A16" t="s">
        <v>59</v>
      </c>
      <c r="B16" t="s">
        <v>23</v>
      </c>
      <c r="C16" t="s">
        <v>57</v>
      </c>
      <c r="D16" t="n">
        <v>1</v>
      </c>
      <c r="E16" t="s">
        <v>87</v>
      </c>
      <c r="F16" t="n">
        <v>2000</v>
      </c>
      <c r="G16" t="n">
        <v>7</v>
      </c>
      <c r="H16">
        <f>1/G16</f>
        <v/>
      </c>
      <c r="I16" t="s">
        <v>88</v>
      </c>
      <c r="J16" t="n">
        <v>4000</v>
      </c>
      <c r="K16" t="n">
        <v>28</v>
      </c>
      <c r="L16">
        <f>1/K16</f>
        <v/>
      </c>
      <c r="M16" t="n">
        <v>12</v>
      </c>
      <c r="N16">
        <f>1/M16</f>
        <v/>
      </c>
      <c r="O16">
        <f>N16/2+L16/2</f>
        <v/>
      </c>
      <c r="P16">
        <f>H16/2+L16/2+N16/2</f>
        <v/>
      </c>
    </row>
    <row r="17" spans="1:16">
      <c r="A17" t="s">
        <v>60</v>
      </c>
      <c r="B17" t="s">
        <v>23</v>
      </c>
      <c r="C17" t="s">
        <v>57</v>
      </c>
      <c r="D17" t="n">
        <v>0</v>
      </c>
      <c r="E17" t="s">
        <v>89</v>
      </c>
      <c r="F17" t="n">
        <v>1500</v>
      </c>
      <c r="G17" t="n">
        <v>3</v>
      </c>
      <c r="H17">
        <f>1/G17</f>
        <v/>
      </c>
      <c r="I17" t="s">
        <v>90</v>
      </c>
      <c r="J17" t="n">
        <v>1000</v>
      </c>
      <c r="K17" t="n">
        <v>14</v>
      </c>
      <c r="L17">
        <f>1/K17</f>
        <v/>
      </c>
      <c r="M17" t="n">
        <v>3</v>
      </c>
      <c r="N17">
        <f>1/M17</f>
        <v/>
      </c>
      <c r="O17">
        <f>N17/2+L17/2</f>
        <v/>
      </c>
      <c r="P17">
        <f>H17/2+L17/2+N17/2</f>
        <v/>
      </c>
    </row>
  </sheetData>
  <pageMargins bottom="0.75" footer="0.3" header="0.3" left="0.7" right="0.7" top="0.75"/>
  <pageSetup orientation="portrait" paperSize="9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 enableFormatConditionsCalculation="0">
    <tabColor theme="5"/>
    <outlinePr summaryBelow="1" summaryRight="1"/>
    <pageSetUpPr/>
  </sheetPr>
  <dimension ref="A1:R10"/>
  <sheetViews>
    <sheetView topLeftCell="B1" workbookViewId="0">
      <selection activeCell="R8" sqref="R8"/>
    </sheetView>
  </sheetViews>
  <sheetFormatPr baseColWidth="10" defaultColWidth="9.1640625" defaultRowHeight="15" outlineLevelCol="0"/>
  <cols>
    <col customWidth="1" max="1" min="1" style="46" width="19.1640625"/>
    <col bestFit="1" customWidth="1" max="2" min="2" style="46" width="12"/>
    <col customWidth="1" max="9" min="3" style="46" width="16.33203125"/>
    <col customWidth="1" max="16" min="16" style="46" width="16.1640625"/>
  </cols>
  <sheetData>
    <row r="1" spans="1:18">
      <c r="A1" s="13" t="s">
        <v>91</v>
      </c>
      <c r="D1" t="s">
        <v>92</v>
      </c>
      <c r="G1" t="s">
        <v>93</v>
      </c>
      <c r="J1" t="s">
        <v>30</v>
      </c>
      <c r="K1" t="s">
        <v>31</v>
      </c>
      <c r="L1" t="s">
        <v>32</v>
      </c>
      <c r="M1" t="s">
        <v>33</v>
      </c>
      <c r="N1" t="s">
        <v>94</v>
      </c>
      <c r="P1" s="47" t="s">
        <v>95</v>
      </c>
      <c r="Q1" s="48" t="s">
        <v>96</v>
      </c>
    </row>
    <row customHeight="1" ht="17.25" r="2" s="46" spans="1:18">
      <c r="A2" s="13" t="n"/>
      <c r="C2" t="s">
        <v>97</v>
      </c>
      <c r="D2" t="s">
        <v>98</v>
      </c>
      <c r="E2" t="s">
        <v>99</v>
      </c>
      <c r="F2" t="s">
        <v>94</v>
      </c>
      <c r="G2" t="s">
        <v>100</v>
      </c>
      <c r="H2" t="s">
        <v>101</v>
      </c>
      <c r="I2" t="s">
        <v>94</v>
      </c>
      <c r="J2" t="s">
        <v>39</v>
      </c>
      <c r="K2" t="s">
        <v>39</v>
      </c>
      <c r="L2" t="s">
        <v>39</v>
      </c>
      <c r="M2" t="s">
        <v>40</v>
      </c>
    </row>
    <row customHeight="1" ht="15" r="3" s="46" spans="1:18">
      <c r="A3" s="45" t="s">
        <v>81</v>
      </c>
      <c r="C3" t="n">
        <v>272107</v>
      </c>
      <c r="D3" t="n">
        <v>21915</v>
      </c>
      <c r="E3" t="n">
        <v>34579</v>
      </c>
      <c r="F3" t="n">
        <v>215613</v>
      </c>
      <c r="G3" t="n">
        <v>2320</v>
      </c>
      <c r="H3" t="n">
        <v>55940</v>
      </c>
      <c r="I3" t="n">
        <v>213847</v>
      </c>
      <c r="J3" t="n">
        <v>14433</v>
      </c>
      <c r="K3" t="n">
        <v>43925</v>
      </c>
      <c r="L3" t="n">
        <v>23353</v>
      </c>
      <c r="M3" t="n">
        <v>190396</v>
      </c>
      <c r="N3" t="n">
        <v>0</v>
      </c>
      <c r="P3" t="s">
        <v>102</v>
      </c>
      <c r="Q3" t="s">
        <v>102</v>
      </c>
    </row>
    <row customHeight="1" ht="15" r="4" s="46" spans="1:18">
      <c r="A4" s="45" t="s">
        <v>21</v>
      </c>
      <c r="C4" t="n">
        <v>4165</v>
      </c>
      <c r="D4" t="n">
        <v>2616</v>
      </c>
      <c r="E4" t="n">
        <v>948</v>
      </c>
      <c r="F4" t="n">
        <v>601</v>
      </c>
      <c r="G4" t="n">
        <v>1738</v>
      </c>
      <c r="H4" t="n">
        <v>2425</v>
      </c>
      <c r="I4" t="n">
        <v>2</v>
      </c>
      <c r="J4" t="n">
        <v>813</v>
      </c>
      <c r="K4" t="n">
        <v>1847</v>
      </c>
      <c r="L4" t="n">
        <v>1455</v>
      </c>
      <c r="M4" t="n">
        <v>50</v>
      </c>
      <c r="N4" t="n">
        <v>0</v>
      </c>
      <c r="P4">
        <f>'INPUT - Housing per plan '!H3</f>
        <v/>
      </c>
      <c r="Q4">
        <f>C4-P4</f>
        <v/>
      </c>
      <c r="R4" s="1">
        <f>P4/(P4+Q4)</f>
        <v/>
      </c>
    </row>
    <row customHeight="1" ht="15" r="5" s="46" spans="1:18">
      <c r="A5" s="45" t="s">
        <v>103</v>
      </c>
      <c r="C5" t="n">
        <v>10014</v>
      </c>
      <c r="D5" t="n">
        <v>2865</v>
      </c>
      <c r="E5" t="n">
        <v>2722</v>
      </c>
      <c r="F5" t="n">
        <v>3427</v>
      </c>
      <c r="G5" t="n">
        <v>2766</v>
      </c>
      <c r="H5" t="n">
        <v>3968</v>
      </c>
      <c r="I5" t="n">
        <v>3280</v>
      </c>
      <c r="J5" t="n">
        <v>1655</v>
      </c>
      <c r="K5" t="n">
        <v>4244</v>
      </c>
      <c r="L5" t="n">
        <v>2415</v>
      </c>
      <c r="M5" t="n">
        <v>0</v>
      </c>
      <c r="N5" t="n">
        <v>1700</v>
      </c>
      <c r="P5">
        <f>SUM('INPUT - Housing per plan '!H4:H8)</f>
        <v/>
      </c>
      <c r="Q5">
        <f>C5-P5</f>
        <v/>
      </c>
      <c r="R5" s="1">
        <f>P5/(P5+Q5)</f>
        <v/>
      </c>
    </row>
    <row customHeight="1" ht="15" r="6" s="46" spans="1:18">
      <c r="A6" s="45" t="s">
        <v>20</v>
      </c>
      <c r="C6" t="n">
        <v>1982</v>
      </c>
      <c r="D6" t="n">
        <v>823</v>
      </c>
      <c r="E6" t="n">
        <v>62</v>
      </c>
      <c r="F6" t="n">
        <v>1097</v>
      </c>
      <c r="G6" t="n">
        <v>831</v>
      </c>
      <c r="H6" t="n">
        <v>54</v>
      </c>
      <c r="I6" t="n">
        <v>1097</v>
      </c>
      <c r="J6" t="n">
        <v>679</v>
      </c>
      <c r="K6" t="n">
        <v>688</v>
      </c>
      <c r="L6" t="n">
        <v>380</v>
      </c>
      <c r="M6" t="n">
        <v>0</v>
      </c>
      <c r="N6" t="n">
        <v>235</v>
      </c>
      <c r="P6">
        <f>SUM('INPUT - Housing per plan '!H9:'INPUT - Housing per plan '!H11)</f>
        <v/>
      </c>
      <c r="Q6">
        <f>C6-P6</f>
        <v/>
      </c>
      <c r="R6" s="1">
        <f>P6/(P6+Q6)</f>
        <v/>
      </c>
    </row>
    <row customHeight="1" ht="15" r="7" s="46" spans="1:18">
      <c r="A7" s="45" t="s">
        <v>23</v>
      </c>
      <c r="C7" t="n">
        <v>23728</v>
      </c>
      <c r="D7" t="n">
        <v>4591</v>
      </c>
      <c r="E7" t="n">
        <v>2987</v>
      </c>
      <c r="F7" t="n">
        <v>16150</v>
      </c>
      <c r="G7" t="n">
        <v>3201</v>
      </c>
      <c r="H7" t="n">
        <v>4745</v>
      </c>
      <c r="I7" t="n">
        <v>15782</v>
      </c>
      <c r="J7" t="n">
        <v>3107</v>
      </c>
      <c r="K7" t="n">
        <v>8305</v>
      </c>
      <c r="L7" t="n">
        <v>4456</v>
      </c>
      <c r="M7" t="n">
        <v>7850</v>
      </c>
      <c r="N7" t="n">
        <v>10</v>
      </c>
      <c r="P7">
        <f>SUM('INPUT - Housing per plan '!H12:'INPUT - Housing per plan '!H17)</f>
        <v/>
      </c>
      <c r="Q7">
        <f>C7-P7</f>
        <v/>
      </c>
      <c r="R7" s="1">
        <f>P7/(P7+Q7)</f>
        <v/>
      </c>
    </row>
    <row customHeight="1" ht="15" r="8" s="46" spans="1:18">
      <c r="O8" t="s">
        <v>39</v>
      </c>
      <c r="P8">
        <f>SUM(P3:P7)</f>
        <v/>
      </c>
      <c r="Q8">
        <f>SUM(Q3:Q7)</f>
        <v/>
      </c>
      <c r="R8" s="1">
        <f>P8/(P8+Q8)</f>
        <v/>
      </c>
    </row>
    <row customHeight="1" ht="15" r="10" s="46" spans="1:18">
      <c r="A10" s="13" t="n"/>
    </row>
    <row customHeight="1" ht="15" r="14" s="46" spans="1:18"/>
    <row customHeight="1" ht="15" r="19" s="46" spans="1:18"/>
    <row customHeight="1" ht="15" r="20" s="46" spans="1:18"/>
    <row customHeight="1" ht="15" r="21" s="46" spans="1:18"/>
    <row customHeight="1" ht="15" r="22" s="46" spans="1:18"/>
    <row customHeight="1" ht="15" r="23" s="46" spans="1:18"/>
    <row customHeight="1" ht="15" r="24" s="46" spans="1:18"/>
    <row customHeight="1" ht="15" r="25" s="46" spans="1:18"/>
    <row customHeight="1" ht="15" r="26" s="46" spans="1:18"/>
  </sheetData>
  <mergeCells count="7">
    <mergeCell ref="A7:B7"/>
    <mergeCell ref="P1:P2"/>
    <mergeCell ref="Q1:Q2"/>
    <mergeCell ref="A3:B3"/>
    <mergeCell ref="A4:B4"/>
    <mergeCell ref="A5:B5"/>
    <mergeCell ref="A6:B6"/>
  </mergeCells>
  <pageMargins bottom="0.75" footer="0.3" header="0.3" left="0.7" right="0.7" top="0.75"/>
  <pageSetup horizontalDpi="1200" orientation="portrait" paperSize="9" verticalDpi="1200"/>
  <legacyDrawing r:id="anysvml"/>
</worksheet>
</file>

<file path=xl/worksheets/sheet5.xml><?xml version="1.0" encoding="utf-8"?>
<worksheet xmlns="http://schemas.openxmlformats.org/spreadsheetml/2006/main">
  <sheetPr codeName="Sheet5" enableFormatConditionsCalculation="0">
    <tabColor theme="5"/>
    <outlinePr summaryBelow="1" summaryRight="1"/>
    <pageSetUpPr/>
  </sheetPr>
  <dimension ref="A1:I8"/>
  <sheetViews>
    <sheetView workbookViewId="0">
      <selection activeCell="B6" sqref="B6"/>
    </sheetView>
  </sheetViews>
  <sheetFormatPr baseColWidth="10" defaultColWidth="9.1640625" defaultRowHeight="15" outlineLevelCol="0"/>
  <cols>
    <col bestFit="1" customWidth="1" max="1" min="1" style="46" width="33"/>
    <col bestFit="1" customWidth="1" max="9" min="9" style="46" width="9"/>
  </cols>
  <sheetData>
    <row r="1" spans="1:9">
      <c r="A1" t="s">
        <v>35</v>
      </c>
      <c r="B1" s="13" t="n">
        <v>2017</v>
      </c>
      <c r="C1" s="13" t="n">
        <v>2020</v>
      </c>
      <c r="D1" s="13" t="n">
        <v>2025</v>
      </c>
      <c r="E1" s="13" t="n">
        <v>2030</v>
      </c>
      <c r="F1" s="13" t="n">
        <v>2040</v>
      </c>
      <c r="G1" s="13" t="s">
        <v>104</v>
      </c>
      <c r="H1" s="13" t="s">
        <v>105</v>
      </c>
      <c r="I1" s="13" t="s">
        <v>106</v>
      </c>
    </row>
    <row r="2" spans="1:9">
      <c r="A2" t="s">
        <v>81</v>
      </c>
      <c r="B2" t="n">
        <v>435700</v>
      </c>
      <c r="C2" t="n">
        <v>16400</v>
      </c>
      <c r="D2" t="n">
        <v>38500</v>
      </c>
      <c r="E2" t="n">
        <v>58200</v>
      </c>
      <c r="F2" t="n">
        <v>93900</v>
      </c>
      <c r="G2" t="n">
        <v>529600</v>
      </c>
      <c r="H2">
        <f>G2-B2</f>
        <v/>
      </c>
      <c r="I2" s="20">
        <f>H2*'BASIS - Plans per municipality'!$R$8</f>
        <v/>
      </c>
    </row>
    <row r="3" spans="1:9">
      <c r="A3" t="s">
        <v>21</v>
      </c>
      <c r="B3" t="n">
        <v>32700</v>
      </c>
      <c r="C3" t="n">
        <v>1200</v>
      </c>
      <c r="D3" t="n">
        <v>2700</v>
      </c>
      <c r="E3" t="n">
        <v>3500</v>
      </c>
      <c r="F3" t="n">
        <v>3500</v>
      </c>
      <c r="G3" t="n">
        <v>36200</v>
      </c>
      <c r="H3">
        <f>G3-B3</f>
        <v/>
      </c>
      <c r="I3" s="20">
        <f>H3*'BASIS - Plans per municipality'!$R$8</f>
        <v/>
      </c>
    </row>
    <row r="4" spans="1:9">
      <c r="A4" t="s">
        <v>20</v>
      </c>
      <c r="B4" t="n">
        <v>15100</v>
      </c>
      <c r="C4" t="n">
        <v>700</v>
      </c>
      <c r="D4" t="n">
        <v>1200</v>
      </c>
      <c r="E4" t="n">
        <v>1600</v>
      </c>
      <c r="F4" t="n">
        <v>1900</v>
      </c>
      <c r="G4" t="n">
        <v>17000</v>
      </c>
      <c r="H4">
        <f>G4-B4</f>
        <v/>
      </c>
      <c r="I4" s="20">
        <f>H4*'BASIS - Plans per municipality'!$R$8</f>
        <v/>
      </c>
    </row>
    <row r="5" spans="1:9">
      <c r="A5" t="s">
        <v>107</v>
      </c>
      <c r="B5" t="n">
        <v>40200</v>
      </c>
      <c r="C5" t="n">
        <v>1400</v>
      </c>
      <c r="D5" t="n">
        <v>2800</v>
      </c>
      <c r="E5" t="n">
        <v>4000</v>
      </c>
      <c r="F5" t="n">
        <v>5700</v>
      </c>
      <c r="G5" t="n">
        <v>45900</v>
      </c>
      <c r="H5">
        <f>G5-B5</f>
        <v/>
      </c>
      <c r="I5" s="20">
        <f>H5*'BASIS - Plans per municipality'!$R$8</f>
        <v/>
      </c>
    </row>
    <row r="6" spans="1:9">
      <c r="A6" t="s">
        <v>23</v>
      </c>
      <c r="B6" t="n">
        <v>68700</v>
      </c>
      <c r="C6" t="n">
        <v>2700</v>
      </c>
      <c r="D6" t="n">
        <v>6400</v>
      </c>
      <c r="E6" t="n">
        <v>9600</v>
      </c>
      <c r="F6" t="n">
        <v>14500</v>
      </c>
      <c r="G6" t="n">
        <v>83200</v>
      </c>
      <c r="H6">
        <f>G6-B6</f>
        <v/>
      </c>
      <c r="I6" s="20">
        <f>H6*'BASIS - Plans per municipality'!$R$8</f>
        <v/>
      </c>
    </row>
    <row r="7" spans="1:9">
      <c r="A7" t="s">
        <v>108</v>
      </c>
      <c r="I7" s="20">
        <f>SUM(I2:I6)</f>
        <v/>
      </c>
    </row>
    <row r="8" spans="1:9">
      <c r="A8" t="s">
        <v>109</v>
      </c>
      <c r="I8" s="20">
        <f>SUM(I3:I6)</f>
        <v/>
      </c>
    </row>
  </sheetData>
  <pageMargins bottom="0.75" footer="0.3" header="0.3" left="0.7" right="0.7" top="0.75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6" enableFormatConditionsCalculation="0">
    <tabColor theme="4"/>
    <outlinePr summaryBelow="1" summaryRight="1"/>
    <pageSetUpPr/>
  </sheetPr>
  <dimension ref="A1:P17"/>
  <sheetViews>
    <sheetView workbookViewId="0">
      <selection activeCell="C28" sqref="C28"/>
    </sheetView>
  </sheetViews>
  <sheetFormatPr baseColWidth="10" defaultColWidth="9.1640625" defaultRowHeight="15" outlineLevelCol="0"/>
  <cols>
    <col customWidth="1" max="1" min="1" style="46" width="6.33203125"/>
    <col customWidth="1" max="2" min="2" style="46" width="19.1640625"/>
    <col bestFit="1" customWidth="1" max="3" min="3" style="46" width="17.83203125"/>
    <col bestFit="1" customWidth="1" max="4" min="4" style="46" width="7.33203125"/>
    <col customWidth="1" max="5" min="5" style="46" width="7.33203125"/>
    <col customWidth="1" max="6" min="6" style="46" width="16.5"/>
    <col customWidth="1" max="7" min="7" style="46" width="10"/>
    <col customWidth="1" max="10" min="8" style="46" width="16.33203125"/>
    <col customWidth="1" max="11" min="11" style="46" width="14"/>
    <col customWidth="1" max="12" min="12" style="46" width="18.33203125"/>
    <col customWidth="1" max="13" min="13" style="38" width="18.33203125"/>
    <col customWidth="1" max="14" min="14" style="46" width="18.33203125"/>
    <col customWidth="1" max="15" min="15" style="46" width="16.33203125"/>
    <col customWidth="1" max="22" min="20" style="46" width="16.33203125"/>
    <col bestFit="1" customWidth="1" max="23" min="23" style="46" width="16.1640625"/>
    <col bestFit="1" customWidth="1" max="24" min="24" style="46" width="15.83203125"/>
    <col customWidth="1" max="31" min="26" style="46" width="16.33203125"/>
  </cols>
  <sheetData>
    <row r="1" spans="1:16">
      <c r="B1" s="13" t="n"/>
      <c r="F1" s="39" t="s">
        <v>110</v>
      </c>
      <c r="G1" s="39" t="n"/>
      <c r="J1" s="36" t="s">
        <v>111</v>
      </c>
      <c r="K1" s="36" t="n"/>
      <c r="M1" s="41" t="s">
        <v>112</v>
      </c>
      <c r="N1" t="s">
        <v>3</v>
      </c>
    </row>
    <row r="2" spans="1:16">
      <c r="A2" t="s">
        <v>113</v>
      </c>
      <c r="B2" t="s">
        <v>34</v>
      </c>
      <c r="C2" t="s">
        <v>35</v>
      </c>
      <c r="D2" t="s">
        <v>36</v>
      </c>
      <c r="E2" t="s">
        <v>9</v>
      </c>
      <c r="F2" s="39" t="s">
        <v>114</v>
      </c>
      <c r="G2" s="39" t="s">
        <v>115</v>
      </c>
      <c r="H2" t="s">
        <v>37</v>
      </c>
      <c r="I2" t="s">
        <v>38</v>
      </c>
      <c r="J2" s="36" t="s">
        <v>116</v>
      </c>
      <c r="K2" s="36" t="s">
        <v>28</v>
      </c>
      <c r="L2" t="s">
        <v>117</v>
      </c>
      <c r="M2" s="41" t="s">
        <v>71</v>
      </c>
      <c r="N2" t="s">
        <v>116</v>
      </c>
      <c r="O2" t="s">
        <v>28</v>
      </c>
      <c r="P2" t="s">
        <v>39</v>
      </c>
    </row>
    <row r="3" spans="1:16">
      <c r="A3" t="s">
        <v>118</v>
      </c>
      <c r="B3" t="s">
        <v>41</v>
      </c>
      <c r="C3" t="s">
        <v>21</v>
      </c>
      <c r="D3" t="s">
        <v>42</v>
      </c>
      <c r="E3" t="n">
        <v>1</v>
      </c>
      <c r="F3" s="40">
        <f>'BASIS - Accessiblity of plans'!O3</f>
        <v/>
      </c>
      <c r="G3" s="40">
        <f>'BASIS - Accessiblity of plans'!H3</f>
        <v/>
      </c>
      <c r="H3" t="n">
        <v>1400</v>
      </c>
      <c r="I3" s="20">
        <f>H3*1.25</f>
        <v/>
      </c>
      <c r="J3" s="37" t="n">
        <v>0</v>
      </c>
      <c r="K3" s="37" t="n">
        <v>0</v>
      </c>
      <c r="L3">
        <f>IF(J3+K3&lt;I3+1,"TRUE","FALSE")</f>
        <v/>
      </c>
      <c r="M3" s="41">
        <f>SUM('INPUT - Infra Projects'!AN3:AN40)</f>
        <v/>
      </c>
      <c r="N3">
        <f>IF(E3=1,J3*('BASIS - Financial data'!E9-'BASIS - Financial data'!D9)*(1+M3),J3*('BASIS - Financial data'!G9-'BASIS - Financial data'!F9))*(1+M3)</f>
        <v/>
      </c>
      <c r="O3">
        <f>IF($E3=1,$K3*('BASIS - Financial data'!$H9-'BASIS - Financial data'!$D9)*(1+M3),$K3*('BASIS - Financial data'!$I9-'BASIS - Financial data'!$F9))*(1+M3)</f>
        <v/>
      </c>
      <c r="P3">
        <f>N3+O3</f>
        <v/>
      </c>
    </row>
    <row r="4" spans="1:16">
      <c r="A4" t="s">
        <v>119</v>
      </c>
      <c r="B4" t="s">
        <v>43</v>
      </c>
      <c r="C4" t="s">
        <v>22</v>
      </c>
      <c r="D4" t="s">
        <v>44</v>
      </c>
      <c r="E4" t="n">
        <v>0</v>
      </c>
      <c r="F4" s="40">
        <f>'BASIS - Accessiblity of plans'!O4</f>
        <v/>
      </c>
      <c r="G4" s="40">
        <f>'BASIS - Accessiblity of plans'!H4</f>
        <v/>
      </c>
      <c r="H4" t="n">
        <v>1200</v>
      </c>
      <c r="I4" s="20">
        <f>H4*1.25</f>
        <v/>
      </c>
      <c r="J4" s="37" t="n">
        <v>0</v>
      </c>
      <c r="K4" s="37" t="n">
        <v>0</v>
      </c>
      <c r="L4">
        <f>IF(J4+K4&lt;I4+1,"TRUE","FALSE")</f>
        <v/>
      </c>
      <c r="M4" s="41">
        <f>SUM('INPUT - Infra Projects'!AO3:AO40)</f>
        <v/>
      </c>
      <c r="N4">
        <f>IF(E4=1,J4*('BASIS - Financial data'!E10-'BASIS - Financial data'!D10)*(1+M4),J4*('BASIS - Financial data'!G10-'BASIS - Financial data'!F10))*(1+M4)</f>
        <v/>
      </c>
      <c r="O4">
        <f>IF($E4=1,$K4*('BASIS - Financial data'!$H10-'BASIS - Financial data'!$D10)*(1+M4),$K4*('BASIS - Financial data'!$I10-'BASIS - Financial data'!$F10))*(1+M4)</f>
        <v/>
      </c>
      <c r="P4">
        <f>N4+O4</f>
        <v/>
      </c>
    </row>
    <row r="5" spans="1:16">
      <c r="A5" t="s">
        <v>120</v>
      </c>
      <c r="B5" t="s">
        <v>45</v>
      </c>
      <c r="C5" t="s">
        <v>22</v>
      </c>
      <c r="D5" t="s">
        <v>44</v>
      </c>
      <c r="E5" t="n">
        <v>0</v>
      </c>
      <c r="F5" s="40">
        <f>'BASIS - Accessiblity of plans'!O5</f>
        <v/>
      </c>
      <c r="G5" s="40">
        <f>'BASIS - Accessiblity of plans'!H5</f>
        <v/>
      </c>
      <c r="H5" t="n">
        <v>1200</v>
      </c>
      <c r="I5" s="20">
        <f>H5*1.25</f>
        <v/>
      </c>
      <c r="J5" s="37" t="n">
        <v>0</v>
      </c>
      <c r="K5" s="37" t="n">
        <v>0</v>
      </c>
      <c r="L5">
        <f>IF(J5+K5&lt;I5+1,"TRUE","FALSE")</f>
        <v/>
      </c>
      <c r="M5" s="41">
        <f>SUM('INPUT - Infra Projects'!AO3:AO40)</f>
        <v/>
      </c>
      <c r="N5">
        <f>IF(E5=1,J5*('BASIS - Financial data'!E10-'BASIS - Financial data'!D10)*(1+M5),J5*('BASIS - Financial data'!G10-'BASIS - Financial data'!F10))*(1+M5)</f>
        <v/>
      </c>
      <c r="O5">
        <f>IF($E5=1,$K5*('BASIS - Financial data'!$H10-'BASIS - Financial data'!$D10)*(1+M5),$K5*('BASIS - Financial data'!$I10-'BASIS - Financial data'!$F10))*(1+M5)</f>
        <v/>
      </c>
      <c r="P5">
        <f>N5+O5</f>
        <v/>
      </c>
    </row>
    <row r="6" spans="1:16">
      <c r="A6" t="s">
        <v>121</v>
      </c>
      <c r="B6" t="s">
        <v>46</v>
      </c>
      <c r="C6" t="s">
        <v>22</v>
      </c>
      <c r="D6" t="s">
        <v>44</v>
      </c>
      <c r="E6" t="n">
        <v>0</v>
      </c>
      <c r="F6" s="40">
        <f>'BASIS - Accessiblity of plans'!O6</f>
        <v/>
      </c>
      <c r="G6" s="40">
        <f>'BASIS - Accessiblity of plans'!H6</f>
        <v/>
      </c>
      <c r="H6" t="n">
        <v>690</v>
      </c>
      <c r="I6" s="20">
        <f>H6*1.25</f>
        <v/>
      </c>
      <c r="J6" s="37" t="n">
        <v>0</v>
      </c>
      <c r="K6" s="37" t="n">
        <v>0</v>
      </c>
      <c r="L6">
        <f>IF(J6+K6&lt;I6+1,"TRUE","FALSE")</f>
        <v/>
      </c>
      <c r="M6" s="41">
        <f>SUM('INPUT - Infra Projects'!AO3:AO40)</f>
        <v/>
      </c>
      <c r="N6">
        <f>IF(E6=1,J6*('BASIS - Financial data'!E10-'BASIS - Financial data'!D10)*(1+M6),J6*('BASIS - Financial data'!G10-'BASIS - Financial data'!F10))*(1+M6)</f>
        <v/>
      </c>
      <c r="O6">
        <f>IF($E6=1,$K6*('BASIS - Financial data'!$H10-'BASIS - Financial data'!$D10)*(1+M6),$K6*('BASIS - Financial data'!$I10-'BASIS - Financial data'!$F10))*(1+M6)</f>
        <v/>
      </c>
      <c r="P6">
        <f>N6+O6</f>
        <v/>
      </c>
    </row>
    <row r="7" spans="1:16">
      <c r="A7" t="s">
        <v>122</v>
      </c>
      <c r="B7" t="s">
        <v>47</v>
      </c>
      <c r="C7" t="s">
        <v>22</v>
      </c>
      <c r="D7" t="s">
        <v>44</v>
      </c>
      <c r="E7" t="n">
        <v>1</v>
      </c>
      <c r="F7" s="40">
        <f>'BASIS - Accessiblity of plans'!O7</f>
        <v/>
      </c>
      <c r="G7" s="40">
        <f>'BASIS - Accessiblity of plans'!H7</f>
        <v/>
      </c>
      <c r="H7" t="n">
        <v>300</v>
      </c>
      <c r="I7" s="20">
        <f>H7*1.25</f>
        <v/>
      </c>
      <c r="J7" s="37" t="n">
        <v>0</v>
      </c>
      <c r="K7" s="37" t="n">
        <v>0</v>
      </c>
      <c r="L7">
        <f>IF(J7+K7&lt;I7+1,"TRUE","FALSE")</f>
        <v/>
      </c>
      <c r="M7" s="41">
        <f>SUM('INPUT - Infra Projects'!AO3:AO40)</f>
        <v/>
      </c>
      <c r="N7">
        <f>IF(E7=1,J7*('BASIS - Financial data'!E10-'BASIS - Financial data'!D10)*(1+M7),J7*('BASIS - Financial data'!G10-'BASIS - Financial data'!F10))*(1+M7)</f>
        <v/>
      </c>
      <c r="O7">
        <f>IF($E7=1,$K7*('BASIS - Financial data'!$H10-'BASIS - Financial data'!$D10)*(1+M7),$K7*('BASIS - Financial data'!$I10-'BASIS - Financial data'!$F10))*(1+M7)</f>
        <v/>
      </c>
      <c r="P7">
        <f>N7+O7</f>
        <v/>
      </c>
    </row>
    <row r="8" spans="1:16">
      <c r="A8" t="s">
        <v>123</v>
      </c>
      <c r="B8" t="s">
        <v>48</v>
      </c>
      <c r="C8" t="s">
        <v>22</v>
      </c>
      <c r="D8" t="s">
        <v>44</v>
      </c>
      <c r="E8" t="n">
        <v>0</v>
      </c>
      <c r="F8" s="40">
        <f>'BASIS - Accessiblity of plans'!O8</f>
        <v/>
      </c>
      <c r="G8" s="40">
        <f>'BASIS - Accessiblity of plans'!H8</f>
        <v/>
      </c>
      <c r="H8" t="n">
        <v>300</v>
      </c>
      <c r="I8" s="20">
        <f>H8*1.25</f>
        <v/>
      </c>
      <c r="J8" s="37" t="n">
        <v>0</v>
      </c>
      <c r="K8" s="37" t="n">
        <v>0</v>
      </c>
      <c r="L8">
        <f>IF(J8+K8&lt;I8+1,"TRUE","FALSE")</f>
        <v/>
      </c>
      <c r="M8" s="41">
        <f>SUM('INPUT - Infra Projects'!AO3:AO40)</f>
        <v/>
      </c>
      <c r="N8">
        <f>IF(E8=1,J8*('BASIS - Financial data'!E10-'BASIS - Financial data'!D10)*(1+M8),J8*('BASIS - Financial data'!G10-'BASIS - Financial data'!F10))*(1+M8)</f>
        <v/>
      </c>
      <c r="O8">
        <f>IF($E8=1,$K8*('BASIS - Financial data'!$H10-'BASIS - Financial data'!$D10)*(1+M8),$K8*('BASIS - Financial data'!$I10-'BASIS - Financial data'!$F10))*(1+M8)</f>
        <v/>
      </c>
      <c r="P8">
        <f>N8+O8</f>
        <v/>
      </c>
    </row>
    <row r="9" spans="1:16">
      <c r="A9" t="s">
        <v>124</v>
      </c>
      <c r="B9" t="s">
        <v>49</v>
      </c>
      <c r="C9" t="s">
        <v>20</v>
      </c>
      <c r="D9" t="s">
        <v>50</v>
      </c>
      <c r="E9" t="n">
        <v>0</v>
      </c>
      <c r="F9" s="40">
        <f>'BASIS - Accessiblity of plans'!O9</f>
        <v/>
      </c>
      <c r="G9" s="40">
        <f>'BASIS - Accessiblity of plans'!H9</f>
        <v/>
      </c>
      <c r="H9" t="n">
        <v>740</v>
      </c>
      <c r="I9" s="20">
        <f>H9*1.25</f>
        <v/>
      </c>
      <c r="J9" s="37" t="n">
        <v>0</v>
      </c>
      <c r="K9" s="37" t="n">
        <v>0</v>
      </c>
      <c r="L9">
        <f>IF(J9+K9&lt;I9+1,"TRUE","FALSE")</f>
        <v/>
      </c>
      <c r="M9" s="41">
        <f>SUM('INPUT - Infra Projects'!AM3:AM40)</f>
        <v/>
      </c>
      <c r="N9">
        <f>IF(E9=1,J9*('BASIS - Financial data'!E8-'BASIS - Financial data'!D8)*(1+M9),J9*('BASIS - Financial data'!G8-'BASIS - Financial data'!F8))*(1+M9)</f>
        <v/>
      </c>
      <c r="O9">
        <f>IF($E9=1,$K9*('BASIS - Financial data'!$H8-'BASIS - Financial data'!$D8)*(1+M9),$K9*('BASIS - Financial data'!$I8-'BASIS - Financial data'!$F8))*(1+M9)</f>
        <v/>
      </c>
      <c r="P9">
        <f>N9+O9</f>
        <v/>
      </c>
    </row>
    <row r="10" spans="1:16">
      <c r="A10" t="s">
        <v>125</v>
      </c>
      <c r="B10" t="s">
        <v>51</v>
      </c>
      <c r="C10" t="s">
        <v>20</v>
      </c>
      <c r="D10" t="s">
        <v>50</v>
      </c>
      <c r="E10" t="n">
        <v>0</v>
      </c>
      <c r="F10" s="40">
        <f>'BASIS - Accessiblity of plans'!O10</f>
        <v/>
      </c>
      <c r="G10" s="40">
        <f>'BASIS - Accessiblity of plans'!H10</f>
        <v/>
      </c>
      <c r="H10" t="n">
        <v>82</v>
      </c>
      <c r="I10" s="20">
        <f>H10*1.25</f>
        <v/>
      </c>
      <c r="J10" s="37" t="n">
        <v>0</v>
      </c>
      <c r="K10" s="37" t="n">
        <v>0</v>
      </c>
      <c r="L10">
        <f>IF(J10+K10&lt;I10+1,"TRUE","FALSE")</f>
        <v/>
      </c>
      <c r="M10" s="41">
        <f>SUM('INPUT - Infra Projects'!AM3:AM40)</f>
        <v/>
      </c>
      <c r="N10">
        <f>IF(E10=1,J10*('BASIS - Financial data'!E8-'BASIS - Financial data'!D8)*(1+M10),J10*('BASIS - Financial data'!G8-'BASIS - Financial data'!F8))*(1+M10)</f>
        <v/>
      </c>
      <c r="O10">
        <f>IF($E10=1,$K10*('BASIS - Financial data'!$H8-'BASIS - Financial data'!$D8)*(1+M10),$K10*('BASIS - Financial data'!$I8-'BASIS - Financial data'!$F8))*(1+M10)</f>
        <v/>
      </c>
      <c r="P10">
        <f>N10+O10</f>
        <v/>
      </c>
    </row>
    <row r="11" spans="1:16">
      <c r="A11" t="s">
        <v>126</v>
      </c>
      <c r="B11" t="s">
        <v>52</v>
      </c>
      <c r="C11" t="s">
        <v>20</v>
      </c>
      <c r="D11" t="s">
        <v>50</v>
      </c>
      <c r="E11" t="n">
        <v>1</v>
      </c>
      <c r="F11" s="40">
        <f>'BASIS - Accessiblity of plans'!O11</f>
        <v/>
      </c>
      <c r="G11" s="40">
        <f>'BASIS - Accessiblity of plans'!H11</f>
        <v/>
      </c>
      <c r="H11" t="n">
        <v>483</v>
      </c>
      <c r="I11" s="20">
        <f>H11*1.25</f>
        <v/>
      </c>
      <c r="J11" s="37" t="n">
        <v>0</v>
      </c>
      <c r="K11" s="37" t="n">
        <v>0</v>
      </c>
      <c r="L11">
        <f>IF(J11+K11&lt;I11+1,"TRUE","FALSE")</f>
        <v/>
      </c>
      <c r="M11" s="41">
        <f>SUM('INPUT - Infra Projects'!AM3:AM40)</f>
        <v/>
      </c>
      <c r="N11">
        <f>IF(E11=1,J11*('BASIS - Financial data'!E8-'BASIS - Financial data'!D8)*(1+M11),J11*('BASIS - Financial data'!G8-'BASIS - Financial data'!F8))*(1+M11)</f>
        <v/>
      </c>
      <c r="O11">
        <f>IF($E11=1,$K11*('BASIS - Financial data'!$H8-'BASIS - Financial data'!$D8)*(1+M11),$K11*('BASIS - Financial data'!$I8-'BASIS - Financial data'!$F8))*(1+M11)</f>
        <v/>
      </c>
      <c r="P11">
        <f>N11+O11</f>
        <v/>
      </c>
    </row>
    <row r="12" spans="1:16">
      <c r="A12" t="s">
        <v>127</v>
      </c>
      <c r="B12" t="s">
        <v>53</v>
      </c>
      <c r="C12" t="s">
        <v>23</v>
      </c>
      <c r="D12" t="s">
        <v>54</v>
      </c>
      <c r="E12" t="n">
        <v>1</v>
      </c>
      <c r="F12" s="40">
        <f>'BASIS - Accessiblity of plans'!O12</f>
        <v/>
      </c>
      <c r="G12" s="40">
        <f>'BASIS - Accessiblity of plans'!H12</f>
        <v/>
      </c>
      <c r="H12" t="n">
        <v>8500</v>
      </c>
      <c r="I12" s="20">
        <f>H12*1.25</f>
        <v/>
      </c>
      <c r="J12" s="37" t="n">
        <v>0</v>
      </c>
      <c r="K12" s="37" t="n">
        <v>0</v>
      </c>
      <c r="L12">
        <f>IF(J12+K12&lt;I12+1,"TRUE","FALSE")</f>
        <v/>
      </c>
      <c r="M12" s="41">
        <f>SUM('INPUT - Infra Projects'!AP3:AP40)</f>
        <v/>
      </c>
      <c r="N12">
        <f>IF(E12=1,J12*('BASIS - Financial data'!E11-'BASIS - Financial data'!D11)*(1+M12),J12*('BASIS - Financial data'!G11-'BASIS - Financial data'!F11))*(1+M12)</f>
        <v/>
      </c>
      <c r="O12">
        <f>IF($E12=1,$K12*('BASIS - Financial data'!$H$11-'BASIS - Financial data'!$D$11)*(1+M12),$K12*('BASIS - Financial data'!$I$11-'BASIS - Financial data'!$F$11))*(1+M12)</f>
        <v/>
      </c>
      <c r="P12">
        <f>N12+O12</f>
        <v/>
      </c>
    </row>
    <row r="13" spans="1:16">
      <c r="A13" t="s">
        <v>128</v>
      </c>
      <c r="B13" t="s">
        <v>55</v>
      </c>
      <c r="C13" t="s">
        <v>23</v>
      </c>
      <c r="D13" t="s">
        <v>54</v>
      </c>
      <c r="E13" t="n">
        <v>1</v>
      </c>
      <c r="F13" s="40">
        <f>'BASIS - Accessiblity of plans'!O13</f>
        <v/>
      </c>
      <c r="G13" s="40">
        <f>'BASIS - Accessiblity of plans'!H13</f>
        <v/>
      </c>
      <c r="H13" t="n">
        <v>1000</v>
      </c>
      <c r="I13" s="20">
        <f>H13*1.25</f>
        <v/>
      </c>
      <c r="J13" s="37" t="n">
        <v>0</v>
      </c>
      <c r="K13" s="37" t="n">
        <v>0</v>
      </c>
      <c r="L13">
        <f>IF(J13+K13&lt;I13+1,"TRUE","FALSE")</f>
        <v/>
      </c>
      <c r="M13" s="41">
        <f>SUM('INPUT - Infra Projects'!AP3:AP40)</f>
        <v/>
      </c>
      <c r="N13">
        <f>IF(E13=1,J13*('BASIS - Financial data'!E11-'BASIS - Financial data'!D11)*(1+M13),J13*('BASIS - Financial data'!G11-'BASIS - Financial data'!F11))*(1+M13)</f>
        <v/>
      </c>
      <c r="O13">
        <f>IF($E13=1,$K13*('BASIS - Financial data'!$H$11-'BASIS - Financial data'!$D$11)*(1+M13),$K13*('BASIS - Financial data'!$I$11-'BASIS - Financial data'!$F$11))*(1+M13)</f>
        <v/>
      </c>
      <c r="P13">
        <f>N13+O13</f>
        <v/>
      </c>
    </row>
    <row r="14" spans="1:16">
      <c r="A14" t="s">
        <v>129</v>
      </c>
      <c r="B14" t="s">
        <v>56</v>
      </c>
      <c r="C14" t="s">
        <v>23</v>
      </c>
      <c r="D14" t="s">
        <v>57</v>
      </c>
      <c r="E14" t="n">
        <v>1</v>
      </c>
      <c r="F14" s="40">
        <f>'BASIS - Accessiblity of plans'!O14</f>
        <v/>
      </c>
      <c r="G14" s="40">
        <f>'BASIS - Accessiblity of plans'!H14</f>
        <v/>
      </c>
      <c r="H14" t="n">
        <v>3000</v>
      </c>
      <c r="I14" s="20">
        <f>H14*1.25</f>
        <v/>
      </c>
      <c r="J14" s="37" t="n">
        <v>0</v>
      </c>
      <c r="K14" s="37" t="n">
        <v>0</v>
      </c>
      <c r="L14">
        <f>IF(J14+K14&lt;I14+1,"TRUE","FALSE")</f>
        <v/>
      </c>
      <c r="M14" s="41">
        <f>SUM('INPUT - Infra Projects'!AP3:AP40)</f>
        <v/>
      </c>
      <c r="N14">
        <f>IF(E14=1,J14*('BASIS - Financial data'!E11-'BASIS - Financial data'!D11)*(1+M14),J14*('BASIS - Financial data'!G11-'BASIS - Financial data'!F11))*(1+M14)</f>
        <v/>
      </c>
      <c r="O14">
        <f>IF($E14=1,$K14*('BASIS - Financial data'!$H$11-'BASIS - Financial data'!$D$11)*(1+M14),$K14*('BASIS - Financial data'!$I$11-'BASIS - Financial data'!$F$11))*(1+M14)</f>
        <v/>
      </c>
      <c r="P14">
        <f>N14+O14</f>
        <v/>
      </c>
    </row>
    <row r="15" spans="1:16">
      <c r="A15" t="s">
        <v>130</v>
      </c>
      <c r="B15" t="s">
        <v>58</v>
      </c>
      <c r="C15" t="s">
        <v>23</v>
      </c>
      <c r="D15" t="s">
        <v>54</v>
      </c>
      <c r="E15" t="n">
        <v>1</v>
      </c>
      <c r="F15" s="40">
        <f>'BASIS - Accessiblity of plans'!O15</f>
        <v/>
      </c>
      <c r="G15" s="40">
        <f>'BASIS - Accessiblity of plans'!H15</f>
        <v/>
      </c>
      <c r="H15" t="n">
        <v>1000</v>
      </c>
      <c r="I15" s="20">
        <f>H15*1.25</f>
        <v/>
      </c>
      <c r="J15" s="37" t="n">
        <v>0</v>
      </c>
      <c r="K15" s="37" t="n">
        <v>0</v>
      </c>
      <c r="L15">
        <f>IF(J15+K15&lt;I15+1,"TRUE","FALSE")</f>
        <v/>
      </c>
      <c r="M15" s="41">
        <f>SUM('INPUT - Infra Projects'!AP3:AP40)</f>
        <v/>
      </c>
      <c r="N15">
        <f>IF(E15=1,J15*('BASIS - Financial data'!E11-'BASIS - Financial data'!D11)*(1+M15),J15*('BASIS - Financial data'!G11-'BASIS - Financial data'!F11))*(1+M15)</f>
        <v/>
      </c>
      <c r="O15">
        <f>IF($E15=1,$K15*('BASIS - Financial data'!$H$11-'BASIS - Financial data'!$D$11)*(1+M15),$K15*('BASIS - Financial data'!$I$11-'BASIS - Financial data'!$F$11))*(1+M15)</f>
        <v/>
      </c>
      <c r="P15">
        <f>N15+O15</f>
        <v/>
      </c>
    </row>
    <row r="16" spans="1:16">
      <c r="A16" t="s">
        <v>131</v>
      </c>
      <c r="B16" t="s">
        <v>59</v>
      </c>
      <c r="C16" t="s">
        <v>23</v>
      </c>
      <c r="D16" t="s">
        <v>57</v>
      </c>
      <c r="E16" t="n">
        <v>1</v>
      </c>
      <c r="F16" s="40">
        <f>'BASIS - Accessiblity of plans'!O16</f>
        <v/>
      </c>
      <c r="G16" s="40">
        <f>'BASIS - Accessiblity of plans'!H16</f>
        <v/>
      </c>
      <c r="H16" t="n">
        <v>1000</v>
      </c>
      <c r="I16" s="20">
        <f>H16*1.25</f>
        <v/>
      </c>
      <c r="J16" s="37" t="n">
        <v>0</v>
      </c>
      <c r="K16" s="37" t="n">
        <v>0</v>
      </c>
      <c r="L16">
        <f>IF(J16+K16&lt;I16+1,"TRUE","FALSE")</f>
        <v/>
      </c>
      <c r="M16" s="41">
        <f>SUM('INPUT - Infra Projects'!AP3:AP40)</f>
        <v/>
      </c>
      <c r="N16">
        <f>IF(E16=1,J16*('BASIS - Financial data'!E11-'BASIS - Financial data'!D11)*(1+M16),J16*('BASIS - Financial data'!G11-'BASIS - Financial data'!F11))*(1+M16)</f>
        <v/>
      </c>
      <c r="O16">
        <f>IF($E16=1,$K16*('BASIS - Financial data'!$H$11-'BASIS - Financial data'!$D$11)*(1+M16),$K16*('BASIS - Financial data'!$I$11-'BASIS - Financial data'!$F$11))*(1+M16)</f>
        <v/>
      </c>
      <c r="P16">
        <f>N16+O16</f>
        <v/>
      </c>
    </row>
    <row r="17" spans="1:16">
      <c r="A17" t="s">
        <v>132</v>
      </c>
      <c r="B17" t="s">
        <v>60</v>
      </c>
      <c r="C17" t="s">
        <v>23</v>
      </c>
      <c r="D17" t="s">
        <v>57</v>
      </c>
      <c r="E17" t="n">
        <v>0</v>
      </c>
      <c r="F17" s="40">
        <f>'BASIS - Accessiblity of plans'!O17</f>
        <v/>
      </c>
      <c r="G17" s="40">
        <f>'BASIS - Accessiblity of plans'!H17</f>
        <v/>
      </c>
      <c r="H17" t="n">
        <v>844</v>
      </c>
      <c r="I17" s="20">
        <f>H17*1.25</f>
        <v/>
      </c>
      <c r="J17" s="37" t="n">
        <v>0</v>
      </c>
      <c r="K17" s="37" t="n">
        <v>0</v>
      </c>
      <c r="L17">
        <f>IF(J17+K17&lt;I17+1,"TRUE","FALSE")</f>
        <v/>
      </c>
      <c r="M17" s="41">
        <f>SUM('INPUT - Infra Projects'!AP3:AP40)</f>
        <v/>
      </c>
      <c r="N17">
        <f>IF(E17=1,J17*('BASIS - Financial data'!E11-'BASIS - Financial data'!D11)*(1+M17),J17*('BASIS - Financial data'!G11-'BASIS - Financial data'!F11))*(1+M17)</f>
        <v/>
      </c>
      <c r="O17">
        <f>IF($E17=1,$K17*('BASIS - Financial data'!$H$11-'BASIS - Financial data'!$D$11)*(1+M17),$K17*('BASIS - Financial data'!$I$11-'BASIS - Financial data'!$F$11))*(1+M17)</f>
        <v/>
      </c>
      <c r="P17">
        <f>N17+O17</f>
        <v/>
      </c>
    </row>
  </sheetData>
  <pageMargins bottom="0.75" footer="0.3" header="0.3" left="0.7" right="0.7" top="0.75"/>
  <pageSetup horizontalDpi="1200" orientation="portrait" paperSize="9" verticalDpi="1200"/>
  <legacyDrawing r:id="anysvml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7" enableFormatConditionsCalculation="0">
    <tabColor theme="4"/>
    <outlinePr summaryBelow="1" summaryRight="1"/>
    <pageSetUpPr/>
  </sheetPr>
  <dimension ref="A1:AZ41"/>
  <sheetViews>
    <sheetView tabSelected="1" workbookViewId="0" zoomScale="95" zoomScaleNormal="95" zoomScalePageLayoutView="95">
      <pane activePane="topRight" state="frozen" topLeftCell="I1" xSplit="2"/>
      <selection activeCell="K8" sqref="K8"/>
      <selection activeCell="P16" pane="topRight" sqref="P16"/>
    </sheetView>
  </sheetViews>
  <sheetFormatPr baseColWidth="10" defaultColWidth="9.1640625" defaultRowHeight="15" outlineLevelCol="0"/>
  <cols>
    <col customWidth="1" max="1" min="1" style="46" width="7"/>
    <col customWidth="1" max="2" min="2" style="46" width="62"/>
    <col customWidth="1" max="3" min="3" style="46" width="7.6640625"/>
    <col customWidth="1" max="5" min="4" style="46" width="11.33203125"/>
    <col bestFit="1" customWidth="1" max="6" min="6" style="46" width="20.1640625"/>
    <col customWidth="1" max="7" min="7" style="32" width="10.33203125"/>
    <col customWidth="1" max="8" min="8" style="11" width="10.33203125"/>
    <col customWidth="1" max="9" min="9" style="46" width="25.1640625"/>
    <col customWidth="1" max="15" min="15" style="46" width="11.6640625"/>
    <col bestFit="1" customWidth="1" max="16" min="16" style="27" width="7.5"/>
    <col customWidth="1" max="23" min="17" style="31" width="10.33203125"/>
    <col customWidth="1" max="24" min="24" style="46" width="10.33203125"/>
    <col customWidth="1" max="26" min="26" style="46" width="13.33203125"/>
    <col customWidth="1" max="30" min="27" style="46" width="16.33203125"/>
    <col customWidth="1" max="31" min="31" style="46" width="13.33203125"/>
    <col customWidth="1" max="35" min="32" style="46" width="16.33203125"/>
    <col bestFit="1" customWidth="1" max="39" min="39" style="46" width="15.83203125"/>
  </cols>
  <sheetData>
    <row r="1" spans="1:52">
      <c r="A1" s="13" t="s">
        <v>113</v>
      </c>
      <c r="B1" s="50" t="s">
        <v>34</v>
      </c>
      <c r="C1" s="50" t="s">
        <v>133</v>
      </c>
      <c r="D1" s="49" t="s">
        <v>134</v>
      </c>
      <c r="G1" s="14" t="s">
        <v>135</v>
      </c>
      <c r="H1" s="28" t="n"/>
      <c r="I1" s="28" t="n"/>
      <c r="J1" s="28" t="n"/>
      <c r="K1" s="14" t="s">
        <v>36</v>
      </c>
      <c r="L1" s="14" t="n"/>
      <c r="M1" s="14" t="n"/>
      <c r="N1" s="14" t="n"/>
      <c r="O1" s="14" t="n"/>
      <c r="P1" s="26" t="s">
        <v>111</v>
      </c>
      <c r="Q1" s="25" t="s">
        <v>136</v>
      </c>
      <c r="R1" s="25" t="n"/>
      <c r="S1" s="25" t="n"/>
      <c r="T1" s="25" t="n"/>
      <c r="U1" s="25" t="n"/>
      <c r="V1" s="25" t="n"/>
      <c r="W1" s="25" t="n"/>
      <c r="Z1" s="49" t="s">
        <v>137</v>
      </c>
      <c r="AE1" s="49" t="s">
        <v>138</v>
      </c>
      <c r="AJ1" s="13" t="s">
        <v>139</v>
      </c>
      <c r="AL1" s="13" t="s">
        <v>140</v>
      </c>
      <c r="AQ1" t="s">
        <v>141</v>
      </c>
      <c r="AV1" t="s">
        <v>142</v>
      </c>
    </row>
    <row r="2" spans="1:52">
      <c r="C2" s="50" t="n"/>
      <c r="D2" s="13" t="s">
        <v>143</v>
      </c>
      <c r="E2" s="13" t="s">
        <v>93</v>
      </c>
      <c r="F2" s="13" t="s">
        <v>144</v>
      </c>
      <c r="G2" s="16" t="s">
        <v>145</v>
      </c>
      <c r="H2" s="15" t="s">
        <v>146</v>
      </c>
      <c r="I2" s="13" t="s">
        <v>147</v>
      </c>
      <c r="J2" s="13" t="s">
        <v>148</v>
      </c>
      <c r="K2" s="49" t="s">
        <v>149</v>
      </c>
      <c r="O2" s="13" t="s">
        <v>150</v>
      </c>
      <c r="P2" s="27" t="s">
        <v>151</v>
      </c>
      <c r="Q2" s="29" t="s">
        <v>81</v>
      </c>
      <c r="R2" s="29" t="s">
        <v>20</v>
      </c>
      <c r="S2" s="29" t="s">
        <v>21</v>
      </c>
      <c r="T2" s="29" t="s">
        <v>22</v>
      </c>
      <c r="U2" s="29" t="s">
        <v>23</v>
      </c>
      <c r="V2" s="29" t="s">
        <v>152</v>
      </c>
      <c r="W2" s="29" t="s">
        <v>153</v>
      </c>
      <c r="X2" t="s">
        <v>154</v>
      </c>
      <c r="Y2" s="14" t="s">
        <v>93</v>
      </c>
      <c r="Z2" s="13" t="s">
        <v>155</v>
      </c>
      <c r="AA2" s="13" t="s">
        <v>156</v>
      </c>
      <c r="AB2" s="13" t="s">
        <v>157</v>
      </c>
      <c r="AC2" s="13" t="s">
        <v>158</v>
      </c>
      <c r="AD2" s="13" t="s">
        <v>159</v>
      </c>
      <c r="AE2" s="13" t="s">
        <v>155</v>
      </c>
      <c r="AF2" s="13" t="s">
        <v>156</v>
      </c>
      <c r="AG2" s="13" t="s">
        <v>157</v>
      </c>
      <c r="AH2" s="13" t="s">
        <v>158</v>
      </c>
      <c r="AI2" s="13" t="s">
        <v>159</v>
      </c>
      <c r="AJ2" s="13" t="s">
        <v>160</v>
      </c>
      <c r="AL2" s="13" t="s">
        <v>81</v>
      </c>
      <c r="AM2" s="13" t="s">
        <v>20</v>
      </c>
      <c r="AN2" s="13" t="s">
        <v>21</v>
      </c>
      <c r="AO2" s="13" t="s">
        <v>22</v>
      </c>
      <c r="AP2" s="13" t="s">
        <v>23</v>
      </c>
      <c r="AQ2" s="13" t="s">
        <v>81</v>
      </c>
      <c r="AR2" s="13" t="s">
        <v>20</v>
      </c>
      <c r="AS2" s="13" t="s">
        <v>21</v>
      </c>
      <c r="AT2" s="13" t="s">
        <v>22</v>
      </c>
      <c r="AU2" s="13" t="s">
        <v>23</v>
      </c>
      <c r="AV2" s="13" t="s">
        <v>81</v>
      </c>
      <c r="AW2" s="13" t="s">
        <v>20</v>
      </c>
      <c r="AX2" s="13" t="s">
        <v>21</v>
      </c>
      <c r="AY2" s="13" t="s">
        <v>22</v>
      </c>
      <c r="AZ2" s="13" t="s">
        <v>23</v>
      </c>
    </row>
    <row customHeight="1" ht="15" r="3" s="46" spans="1:52">
      <c r="A3" t="n">
        <v>1</v>
      </c>
      <c r="B3" t="s">
        <v>161</v>
      </c>
      <c r="C3" t="s">
        <v>162</v>
      </c>
      <c r="D3" t="s">
        <v>163</v>
      </c>
      <c r="E3" t="s">
        <v>164</v>
      </c>
      <c r="F3" t="s">
        <v>165</v>
      </c>
      <c r="G3" s="12" t="n">
        <v>2</v>
      </c>
      <c r="H3" s="11" t="s">
        <v>166</v>
      </c>
      <c r="I3" t="s">
        <v>167</v>
      </c>
      <c r="J3" t="n">
        <v>1</v>
      </c>
      <c r="K3" t="s">
        <v>44</v>
      </c>
      <c r="L3" t="s">
        <v>42</v>
      </c>
      <c r="P3" s="27" t="n">
        <v>1</v>
      </c>
      <c r="Q3" s="30" t="n">
        <v>0</v>
      </c>
      <c r="R3" s="30" t="n">
        <v>5</v>
      </c>
      <c r="S3" s="30" t="n">
        <v>0</v>
      </c>
      <c r="T3" s="30" t="n">
        <v>0</v>
      </c>
      <c r="U3" s="30" t="n">
        <v>0</v>
      </c>
      <c r="V3" s="30" t="n">
        <v>0</v>
      </c>
      <c r="W3" s="30" t="n">
        <v>0</v>
      </c>
      <c r="X3">
        <f>IF(SUM(Q3:W3)=G3,"TRUE","FALSE")</f>
        <v/>
      </c>
      <c r="Y3" t="s">
        <v>168</v>
      </c>
      <c r="Z3" t="n">
        <v>0</v>
      </c>
      <c r="AA3" t="n">
        <v>0</v>
      </c>
      <c r="AB3" t="n">
        <v>0</v>
      </c>
      <c r="AC3" t="n">
        <v>0</v>
      </c>
      <c r="AD3" t="n">
        <v>0</v>
      </c>
      <c r="AE3" t="n">
        <v>1</v>
      </c>
      <c r="AF3" t="n">
        <v>0</v>
      </c>
      <c r="AG3" t="n">
        <v>1</v>
      </c>
      <c r="AH3" t="n">
        <v>1</v>
      </c>
      <c r="AI3" t="n">
        <v>0</v>
      </c>
      <c r="AJ3" t="n">
        <v>0.01</v>
      </c>
      <c r="AK3">
        <f>AJ3*0.01</f>
        <v/>
      </c>
      <c r="AL3">
        <f>P3*AK3*(Z3+AE3)</f>
        <v/>
      </c>
      <c r="AM3">
        <f>Q3*$AK3*(AA3+AF3)</f>
        <v/>
      </c>
      <c r="AN3">
        <f>R3*$AK3*(AB3+AG3)</f>
        <v/>
      </c>
      <c r="AO3">
        <f>S3*$AK3*(AC3+AH3)</f>
        <v/>
      </c>
      <c r="AP3">
        <f>T3*$AK3*(AD3+AI3)</f>
        <v/>
      </c>
      <c r="AQ3">
        <f>$P3*AE3*$AK3</f>
        <v/>
      </c>
      <c r="AR3">
        <f>$P3*AF3*$AK3</f>
        <v/>
      </c>
      <c r="AS3">
        <f>$P3*AG3*$AK3</f>
        <v/>
      </c>
      <c r="AT3">
        <f>$P3*AH3*$AK3</f>
        <v/>
      </c>
      <c r="AU3">
        <f>$P3*AI3*$AK3</f>
        <v/>
      </c>
      <c r="AV3">
        <f>$P3*Z3*$AK3</f>
        <v/>
      </c>
      <c r="AW3">
        <f>$P3*AA3*$AK3</f>
        <v/>
      </c>
      <c r="AX3">
        <f>$P3*AB3*$AK3</f>
        <v/>
      </c>
      <c r="AY3">
        <f>$P3*AC3*$AK3</f>
        <v/>
      </c>
      <c r="AZ3">
        <f>$P3*AD3*$AK3</f>
        <v/>
      </c>
    </row>
    <row customHeight="1" ht="15" r="4" s="46" spans="1:52">
      <c r="A4" t="n">
        <v>2</v>
      </c>
      <c r="B4" t="s">
        <v>169</v>
      </c>
      <c r="C4" t="s">
        <v>170</v>
      </c>
      <c r="D4" t="s">
        <v>163</v>
      </c>
      <c r="E4" t="s">
        <v>164</v>
      </c>
      <c r="F4" t="s">
        <v>171</v>
      </c>
      <c r="G4" s="12" t="n">
        <v>35.7</v>
      </c>
      <c r="H4" s="11" t="s">
        <v>166</v>
      </c>
      <c r="I4" t="s">
        <v>172</v>
      </c>
      <c r="J4" t="n">
        <v>1</v>
      </c>
      <c r="K4" t="s">
        <v>54</v>
      </c>
      <c r="L4" t="s">
        <v>44</v>
      </c>
      <c r="P4" s="27" t="n">
        <v>0</v>
      </c>
      <c r="Q4" s="30" t="n">
        <v>0</v>
      </c>
      <c r="R4" s="30" t="n">
        <v>0</v>
      </c>
      <c r="S4" s="30" t="n">
        <v>0</v>
      </c>
      <c r="T4" s="30" t="n">
        <v>0</v>
      </c>
      <c r="U4" s="30" t="n">
        <v>0</v>
      </c>
      <c r="V4" s="30" t="n">
        <v>0</v>
      </c>
      <c r="W4" s="30" t="n">
        <v>0</v>
      </c>
      <c r="X4">
        <f>IF(SUM(Q4:W4)=G4,"TRUE","FALSE")</f>
        <v/>
      </c>
      <c r="Y4" t="s">
        <v>168</v>
      </c>
      <c r="Z4" t="n">
        <v>0</v>
      </c>
      <c r="AA4" t="n">
        <v>0</v>
      </c>
      <c r="AB4" t="n">
        <v>0</v>
      </c>
      <c r="AC4" t="n">
        <v>0</v>
      </c>
      <c r="AD4" t="n">
        <v>0</v>
      </c>
      <c r="AE4" t="n">
        <v>0</v>
      </c>
      <c r="AF4" t="n">
        <v>0</v>
      </c>
      <c r="AG4" t="n">
        <v>0</v>
      </c>
      <c r="AH4" t="n">
        <v>1</v>
      </c>
      <c r="AI4" t="n">
        <v>1</v>
      </c>
      <c r="AJ4" t="n">
        <v>0.01</v>
      </c>
      <c r="AK4">
        <f>AJ4*0.01</f>
        <v/>
      </c>
      <c r="AL4">
        <f>P4*AK4*(Z4+AE4)</f>
        <v/>
      </c>
      <c r="AM4">
        <f>Q4*$AK4*(AA4+AF4)</f>
        <v/>
      </c>
      <c r="AN4">
        <f>R4*$AK4*(AB4+AG4)</f>
        <v/>
      </c>
      <c r="AO4">
        <f>S4*$AK4*(AC4+AH4)</f>
        <v/>
      </c>
      <c r="AP4">
        <f>T4*$AK4*(AD4+AI4)</f>
        <v/>
      </c>
      <c r="AQ4">
        <f>$P4*AE4*$AK4</f>
        <v/>
      </c>
      <c r="AR4">
        <f>$P4*AF4*$AK4</f>
        <v/>
      </c>
      <c r="AS4">
        <f>$P4*AG4*$AK4</f>
        <v/>
      </c>
      <c r="AT4">
        <f>$P4*AH4*$AK4</f>
        <v/>
      </c>
      <c r="AU4">
        <f>$P4*AI4*$AK4</f>
        <v/>
      </c>
      <c r="AV4">
        <f>$P4*Z4*$AK4</f>
        <v/>
      </c>
      <c r="AW4">
        <f>$P4*AA4*$AK4</f>
        <v/>
      </c>
      <c r="AX4">
        <f>$P4*AB4*$AK4</f>
        <v/>
      </c>
      <c r="AY4">
        <f>$P4*AC4*$AK4</f>
        <v/>
      </c>
      <c r="AZ4">
        <f>$P4*AD4*$AK4</f>
        <v/>
      </c>
    </row>
    <row customHeight="1" ht="15" r="5" s="46" spans="1:52">
      <c r="A5" t="n">
        <v>3</v>
      </c>
      <c r="B5" t="s">
        <v>173</v>
      </c>
      <c r="C5" t="s">
        <v>174</v>
      </c>
      <c r="D5" t="s">
        <v>175</v>
      </c>
      <c r="E5" t="s">
        <v>164</v>
      </c>
      <c r="F5" t="s">
        <v>176</v>
      </c>
      <c r="G5" s="24" t="n">
        <v>20</v>
      </c>
      <c r="H5" s="11" t="s">
        <v>166</v>
      </c>
      <c r="I5" t="s">
        <v>177</v>
      </c>
      <c r="J5" t="n">
        <v>1</v>
      </c>
      <c r="K5" t="s">
        <v>54</v>
      </c>
      <c r="O5" t="s">
        <v>178</v>
      </c>
      <c r="P5" s="27" t="n">
        <v>0</v>
      </c>
      <c r="Q5" s="30" t="n">
        <v>0</v>
      </c>
      <c r="R5" s="30" t="n">
        <v>0</v>
      </c>
      <c r="S5" s="30" t="n">
        <v>0</v>
      </c>
      <c r="T5" s="30" t="n">
        <v>0</v>
      </c>
      <c r="U5" s="30" t="n">
        <v>0</v>
      </c>
      <c r="V5" s="30" t="n">
        <v>0</v>
      </c>
      <c r="W5" s="30" t="n">
        <v>0</v>
      </c>
      <c r="X5">
        <f>IF(SUM(Q5:W5)=G5,"TRUE","FALSE")</f>
        <v/>
      </c>
      <c r="Y5" t="s">
        <v>168</v>
      </c>
      <c r="Z5" t="n">
        <v>0</v>
      </c>
      <c r="AA5" t="n">
        <v>0</v>
      </c>
      <c r="AB5" t="n">
        <v>0</v>
      </c>
      <c r="AC5" t="n">
        <v>0</v>
      </c>
      <c r="AD5" t="n">
        <v>0</v>
      </c>
      <c r="AE5" t="n">
        <v>1</v>
      </c>
      <c r="AF5" t="n">
        <v>0</v>
      </c>
      <c r="AG5" t="n">
        <v>0</v>
      </c>
      <c r="AH5" t="n">
        <v>0</v>
      </c>
      <c r="AI5" t="n">
        <v>1</v>
      </c>
      <c r="AJ5" t="n">
        <v>0.1</v>
      </c>
      <c r="AK5">
        <f>AJ5*0.01</f>
        <v/>
      </c>
      <c r="AL5">
        <f>P5*AK5*(Z5+AE5)</f>
        <v/>
      </c>
      <c r="AM5">
        <f>Q5*$AK5*(AA5+AF5)</f>
        <v/>
      </c>
      <c r="AN5">
        <f>R5*$AK5*(AB5+AG5)</f>
        <v/>
      </c>
      <c r="AO5">
        <f>S5*$AK5*(AC5+AH5)</f>
        <v/>
      </c>
      <c r="AP5">
        <f>T5*$AK5*(AD5+AI5)</f>
        <v/>
      </c>
      <c r="AQ5">
        <f>$P5*AE5*$AK5</f>
        <v/>
      </c>
      <c r="AR5">
        <f>$P5*AF5*$AK5</f>
        <v/>
      </c>
      <c r="AS5">
        <f>$P5*AG5*$AK5</f>
        <v/>
      </c>
      <c r="AT5">
        <f>$P5*AH5*$AK5</f>
        <v/>
      </c>
      <c r="AU5">
        <f>$P5*AI5*$AK5</f>
        <v/>
      </c>
      <c r="AV5">
        <f>$P5*Z5*$AK5</f>
        <v/>
      </c>
      <c r="AW5">
        <f>$P5*AA5*$AK5</f>
        <v/>
      </c>
      <c r="AX5">
        <f>$P5*AB5*$AK5</f>
        <v/>
      </c>
      <c r="AY5">
        <f>$P5*AC5*$AK5</f>
        <v/>
      </c>
      <c r="AZ5">
        <f>$P5*AD5*$AK5</f>
        <v/>
      </c>
    </row>
    <row customHeight="1" ht="15" r="6" s="46" spans="1:52">
      <c r="A6" t="n">
        <v>4</v>
      </c>
      <c r="B6" t="s">
        <v>179</v>
      </c>
      <c r="C6" t="s">
        <v>180</v>
      </c>
      <c r="D6" t="s">
        <v>181</v>
      </c>
      <c r="E6" t="s">
        <v>164</v>
      </c>
      <c r="F6" t="s">
        <v>22</v>
      </c>
      <c r="G6" s="12" t="n">
        <v>33</v>
      </c>
      <c r="H6" s="11" t="s">
        <v>166</v>
      </c>
      <c r="I6" t="s">
        <v>182</v>
      </c>
      <c r="J6" t="n">
        <v>1</v>
      </c>
      <c r="K6" t="s">
        <v>44</v>
      </c>
      <c r="P6" s="27" t="n">
        <v>0</v>
      </c>
      <c r="Q6" s="30" t="n">
        <v>0</v>
      </c>
      <c r="R6" s="30" t="n">
        <v>0</v>
      </c>
      <c r="S6" s="30" t="n">
        <v>0</v>
      </c>
      <c r="T6" s="30" t="n">
        <v>0</v>
      </c>
      <c r="U6" s="30" t="n">
        <v>0</v>
      </c>
      <c r="V6" s="30" t="n">
        <v>0</v>
      </c>
      <c r="W6" s="30" t="n">
        <v>0</v>
      </c>
      <c r="X6">
        <f>IF(SUM(Q6:W6)=G6,"TRUE","FALSE")</f>
        <v/>
      </c>
      <c r="Y6" t="s">
        <v>168</v>
      </c>
      <c r="Z6" t="n">
        <v>0</v>
      </c>
      <c r="AA6" t="n">
        <v>0</v>
      </c>
      <c r="AB6" t="n">
        <v>0</v>
      </c>
      <c r="AC6" t="n">
        <v>0</v>
      </c>
      <c r="AD6" t="n">
        <v>0</v>
      </c>
      <c r="AE6" t="n">
        <v>0</v>
      </c>
      <c r="AF6" t="n">
        <v>0</v>
      </c>
      <c r="AG6" t="n">
        <v>0</v>
      </c>
      <c r="AH6" t="n">
        <v>1</v>
      </c>
      <c r="AI6" t="n">
        <v>0</v>
      </c>
      <c r="AJ6" t="n">
        <v>0.02</v>
      </c>
      <c r="AK6">
        <f>AJ6*0.01</f>
        <v/>
      </c>
      <c r="AL6">
        <f>P6*AK6*(Z6+AE6)</f>
        <v/>
      </c>
      <c r="AM6">
        <f>Q6*$AK6*(AA6+AF6)</f>
        <v/>
      </c>
      <c r="AN6">
        <f>R6*$AK6*(AB6+AG6)</f>
        <v/>
      </c>
      <c r="AO6">
        <f>S6*$AK6*(AC6+AH6)</f>
        <v/>
      </c>
      <c r="AP6">
        <f>T6*$AK6*(AD6+AI6)</f>
        <v/>
      </c>
      <c r="AQ6">
        <f>$P6*AE6*$AK6</f>
        <v/>
      </c>
      <c r="AR6">
        <f>$P6*AF6*$AK6</f>
        <v/>
      </c>
      <c r="AS6">
        <f>$P6*AG6*$AK6</f>
        <v/>
      </c>
      <c r="AT6">
        <f>$P6*AH6*$AK6</f>
        <v/>
      </c>
      <c r="AU6">
        <f>$P6*AI6*$AK6</f>
        <v/>
      </c>
      <c r="AV6">
        <f>$P6*Z6*$AK6</f>
        <v/>
      </c>
      <c r="AW6">
        <f>$P6*AA6*$AK6</f>
        <v/>
      </c>
      <c r="AX6">
        <f>$P6*AB6*$AK6</f>
        <v/>
      </c>
      <c r="AY6">
        <f>$P6*AC6*$AK6</f>
        <v/>
      </c>
      <c r="AZ6">
        <f>$P6*AD6*$AK6</f>
        <v/>
      </c>
    </row>
    <row customHeight="1" ht="15" r="7" s="46" spans="1:52">
      <c r="A7" t="n">
        <v>5</v>
      </c>
      <c r="B7" t="s">
        <v>183</v>
      </c>
      <c r="C7" t="s">
        <v>184</v>
      </c>
      <c r="D7" t="s">
        <v>185</v>
      </c>
      <c r="E7" t="s">
        <v>164</v>
      </c>
      <c r="F7" t="s">
        <v>22</v>
      </c>
      <c r="G7" s="12" t="n">
        <v>21</v>
      </c>
      <c r="H7" s="11" t="s">
        <v>166</v>
      </c>
      <c r="I7" t="s">
        <v>186</v>
      </c>
      <c r="J7" t="n">
        <v>1</v>
      </c>
      <c r="K7" t="s">
        <v>50</v>
      </c>
      <c r="P7" s="27" t="n">
        <v>0</v>
      </c>
      <c r="Q7" s="30" t="n">
        <v>0</v>
      </c>
      <c r="R7" s="30" t="n">
        <v>0</v>
      </c>
      <c r="S7" s="30" t="n">
        <v>0</v>
      </c>
      <c r="T7" s="30" t="n">
        <v>0</v>
      </c>
      <c r="U7" s="30" t="n">
        <v>0</v>
      </c>
      <c r="V7" s="30" t="n">
        <v>0</v>
      </c>
      <c r="W7" s="30" t="n">
        <v>0</v>
      </c>
      <c r="X7">
        <f>IF(SUM(Q7:W7)=G7,"TRUE","FALSE")</f>
        <v/>
      </c>
      <c r="Y7" t="s">
        <v>168</v>
      </c>
      <c r="Z7" t="n">
        <v>0</v>
      </c>
      <c r="AA7" t="n">
        <v>0</v>
      </c>
      <c r="AB7" t="n">
        <v>0</v>
      </c>
      <c r="AC7" t="n">
        <v>0</v>
      </c>
      <c r="AD7" t="n">
        <v>0</v>
      </c>
      <c r="AE7" t="n">
        <v>1</v>
      </c>
      <c r="AF7" t="n">
        <v>0</v>
      </c>
      <c r="AG7" t="n">
        <v>0</v>
      </c>
      <c r="AH7" t="n">
        <v>1</v>
      </c>
      <c r="AI7" t="n">
        <v>0</v>
      </c>
      <c r="AJ7" t="n">
        <v>0.05</v>
      </c>
      <c r="AK7">
        <f>AJ7*0.01</f>
        <v/>
      </c>
      <c r="AL7">
        <f>P7*AK7*(Z7+AE7)</f>
        <v/>
      </c>
      <c r="AM7">
        <f>Q7*$AK7*(AA7+AF7)</f>
        <v/>
      </c>
      <c r="AN7">
        <f>R7*$AK7*(AB7+AG7)</f>
        <v/>
      </c>
      <c r="AO7">
        <f>S7*$AK7*(AC7+AH7)</f>
        <v/>
      </c>
      <c r="AP7">
        <f>T7*$AK7*(AD7+AI7)</f>
        <v/>
      </c>
      <c r="AQ7">
        <f>$P7*AE7*$AK7</f>
        <v/>
      </c>
      <c r="AR7">
        <f>$P7*AF7*$AK7</f>
        <v/>
      </c>
      <c r="AS7">
        <f>$P7*AG7*$AK7</f>
        <v/>
      </c>
      <c r="AT7">
        <f>$P7*AH7*$AK7</f>
        <v/>
      </c>
      <c r="AU7">
        <f>$P7*AI7*$AK7</f>
        <v/>
      </c>
      <c r="AV7">
        <f>$P7*Z7*$AK7</f>
        <v/>
      </c>
      <c r="AW7">
        <f>$P7*AA7*$AK7</f>
        <v/>
      </c>
      <c r="AX7">
        <f>$P7*AB7*$AK7</f>
        <v/>
      </c>
      <c r="AY7">
        <f>$P7*AC7*$AK7</f>
        <v/>
      </c>
      <c r="AZ7">
        <f>$P7*AD7*$AK7</f>
        <v/>
      </c>
    </row>
    <row customHeight="1" ht="15" r="8" s="46" spans="1:52">
      <c r="A8" t="n">
        <v>6</v>
      </c>
      <c r="B8" t="s">
        <v>187</v>
      </c>
      <c r="C8" t="s">
        <v>188</v>
      </c>
      <c r="D8" t="s">
        <v>115</v>
      </c>
      <c r="E8" t="s">
        <v>164</v>
      </c>
      <c r="F8" t="s">
        <v>81</v>
      </c>
      <c r="G8" s="12" t="n">
        <v>116</v>
      </c>
      <c r="H8" s="11" t="s">
        <v>166</v>
      </c>
      <c r="I8" t="s">
        <v>189</v>
      </c>
      <c r="J8" t="n">
        <v>3</v>
      </c>
      <c r="K8" t="s">
        <v>50</v>
      </c>
      <c r="O8" t="s">
        <v>178</v>
      </c>
      <c r="P8" s="27" t="n">
        <v>0</v>
      </c>
      <c r="Q8" s="30" t="n">
        <v>0</v>
      </c>
      <c r="R8" s="30" t="n">
        <v>0</v>
      </c>
      <c r="S8" s="30" t="n">
        <v>0</v>
      </c>
      <c r="T8" s="30" t="n">
        <v>0</v>
      </c>
      <c r="U8" s="30" t="n">
        <v>0</v>
      </c>
      <c r="V8" s="30" t="n">
        <v>0</v>
      </c>
      <c r="W8" s="30" t="n">
        <v>0</v>
      </c>
      <c r="X8">
        <f>IF(SUM(Q8:W8)=G8,"TRUE","FALSE")</f>
        <v/>
      </c>
      <c r="Y8" t="s">
        <v>115</v>
      </c>
      <c r="Z8" t="n">
        <v>1</v>
      </c>
      <c r="AA8" t="n">
        <v>1</v>
      </c>
      <c r="AB8" t="n">
        <v>1</v>
      </c>
      <c r="AC8" t="n">
        <v>1</v>
      </c>
      <c r="AD8" t="n">
        <v>0</v>
      </c>
      <c r="AE8" t="n">
        <v>0</v>
      </c>
      <c r="AF8" t="n">
        <v>0</v>
      </c>
      <c r="AG8" t="n">
        <v>0</v>
      </c>
      <c r="AH8" t="n">
        <v>0</v>
      </c>
      <c r="AI8" t="n">
        <v>0</v>
      </c>
      <c r="AJ8" t="n">
        <v>0.05</v>
      </c>
      <c r="AK8">
        <f>AJ8*0.01</f>
        <v/>
      </c>
      <c r="AL8">
        <f>P8*AK8*(Z8+AE8)</f>
        <v/>
      </c>
      <c r="AM8">
        <f>Q8*$AK8*(AA8+AF8)</f>
        <v/>
      </c>
      <c r="AN8">
        <f>R8*$AK8*(AB8+AG8)</f>
        <v/>
      </c>
      <c r="AO8">
        <f>S8*$AK8*(AC8+AH8)</f>
        <v/>
      </c>
      <c r="AP8">
        <f>T8*$AK8*(AD8+AI8)</f>
        <v/>
      </c>
      <c r="AQ8">
        <f>$P8*AE8*$AK8</f>
        <v/>
      </c>
      <c r="AR8">
        <f>$P8*AF8*$AK8</f>
        <v/>
      </c>
      <c r="AS8">
        <f>$P8*AG8*$AK8</f>
        <v/>
      </c>
      <c r="AT8">
        <f>$P8*AH8*$AK8</f>
        <v/>
      </c>
      <c r="AU8">
        <f>$P8*AI8*$AK8</f>
        <v/>
      </c>
      <c r="AV8">
        <f>$P8*Z8*$AK8</f>
        <v/>
      </c>
      <c r="AW8">
        <f>$P8*AA8*$AK8</f>
        <v/>
      </c>
      <c r="AX8">
        <f>$P8*AB8*$AK8</f>
        <v/>
      </c>
      <c r="AY8">
        <f>$P8*AC8*$AK8</f>
        <v/>
      </c>
      <c r="AZ8">
        <f>$P8*AD8*$AK8</f>
        <v/>
      </c>
    </row>
    <row customHeight="1" ht="15" r="9" s="46" spans="1:52">
      <c r="A9" t="n">
        <v>7</v>
      </c>
      <c r="B9" t="s">
        <v>190</v>
      </c>
      <c r="C9" t="s">
        <v>191</v>
      </c>
      <c r="D9" t="s">
        <v>115</v>
      </c>
      <c r="E9" t="s">
        <v>164</v>
      </c>
      <c r="F9" t="s">
        <v>192</v>
      </c>
      <c r="G9" s="12" t="n">
        <v>100</v>
      </c>
      <c r="H9" s="11" t="s">
        <v>166</v>
      </c>
      <c r="I9" t="s">
        <v>189</v>
      </c>
      <c r="J9" t="n">
        <v>3</v>
      </c>
      <c r="K9" t="s">
        <v>42</v>
      </c>
      <c r="O9" t="s">
        <v>178</v>
      </c>
      <c r="P9" s="27" t="n">
        <v>0</v>
      </c>
      <c r="Q9" s="30" t="n">
        <v>0</v>
      </c>
      <c r="R9" s="30" t="n">
        <v>0</v>
      </c>
      <c r="S9" s="30" t="n">
        <v>0</v>
      </c>
      <c r="T9" s="30" t="n">
        <v>0</v>
      </c>
      <c r="U9" s="30" t="n">
        <v>0</v>
      </c>
      <c r="V9" s="30" t="n">
        <v>0</v>
      </c>
      <c r="W9" s="30" t="n">
        <v>0</v>
      </c>
      <c r="X9">
        <f>IF(SUM(Q9:W9)=G9,"TRUE","FALSE")</f>
        <v/>
      </c>
      <c r="Y9" t="s">
        <v>115</v>
      </c>
      <c r="Z9" t="n">
        <v>0</v>
      </c>
      <c r="AA9" t="n">
        <v>0</v>
      </c>
      <c r="AB9" t="n">
        <v>1</v>
      </c>
      <c r="AC9" t="n">
        <v>0</v>
      </c>
      <c r="AD9" t="n">
        <v>0</v>
      </c>
      <c r="AE9" t="n">
        <v>0</v>
      </c>
      <c r="AF9" t="n">
        <v>0</v>
      </c>
      <c r="AG9" t="n">
        <v>0</v>
      </c>
      <c r="AH9" t="n">
        <v>0</v>
      </c>
      <c r="AI9" t="n">
        <v>0</v>
      </c>
      <c r="AJ9" t="n">
        <v>0.05</v>
      </c>
      <c r="AK9">
        <f>AJ9*0.01</f>
        <v/>
      </c>
      <c r="AL9">
        <f>P9*AK9*(Z9+AE9)</f>
        <v/>
      </c>
      <c r="AM9">
        <f>Q9*$AK9*(AA9+AF9)</f>
        <v/>
      </c>
      <c r="AN9">
        <f>R9*$AK9*(AB9+AG9)</f>
        <v/>
      </c>
      <c r="AO9">
        <f>S9*$AK9*(AC9+AH9)</f>
        <v/>
      </c>
      <c r="AP9">
        <f>T9*$AK9*(AD9+AI9)</f>
        <v/>
      </c>
      <c r="AQ9">
        <f>$P9*AE9*$AK9</f>
        <v/>
      </c>
      <c r="AR9">
        <f>$P9*AF9*$AK9</f>
        <v/>
      </c>
      <c r="AS9">
        <f>$P9*AG9*$AK9</f>
        <v/>
      </c>
      <c r="AT9">
        <f>$P9*AH9*$AK9</f>
        <v/>
      </c>
      <c r="AU9">
        <f>$P9*AI9*$AK9</f>
        <v/>
      </c>
      <c r="AV9">
        <f>$P9*Z9*$AK9</f>
        <v/>
      </c>
      <c r="AW9">
        <f>$P9*AA9*$AK9</f>
        <v/>
      </c>
      <c r="AX9">
        <f>$P9*AB9*$AK9</f>
        <v/>
      </c>
      <c r="AY9">
        <f>$P9*AC9*$AK9</f>
        <v/>
      </c>
      <c r="AZ9">
        <f>$P9*AD9*$AK9</f>
        <v/>
      </c>
    </row>
    <row customHeight="1" ht="15" r="10" s="46" spans="1:52">
      <c r="A10" t="n">
        <v>8</v>
      </c>
      <c r="B10" t="s">
        <v>193</v>
      </c>
      <c r="C10" t="s">
        <v>191</v>
      </c>
      <c r="D10" t="s">
        <v>115</v>
      </c>
      <c r="E10" t="s">
        <v>164</v>
      </c>
      <c r="F10" t="s">
        <v>192</v>
      </c>
      <c r="G10" s="12" t="n">
        <v>100</v>
      </c>
      <c r="H10" s="11" t="s">
        <v>166</v>
      </c>
      <c r="I10" t="s">
        <v>189</v>
      </c>
      <c r="J10" t="n">
        <v>3</v>
      </c>
      <c r="K10" t="s">
        <v>42</v>
      </c>
      <c r="O10" t="s">
        <v>178</v>
      </c>
      <c r="P10" s="27" t="n">
        <v>0</v>
      </c>
      <c r="Q10" s="30" t="n">
        <v>0</v>
      </c>
      <c r="R10" s="30" t="n">
        <v>0</v>
      </c>
      <c r="S10" s="30" t="n">
        <v>0</v>
      </c>
      <c r="T10" s="30" t="n">
        <v>0</v>
      </c>
      <c r="U10" s="30" t="n">
        <v>0</v>
      </c>
      <c r="V10" s="30" t="n">
        <v>0</v>
      </c>
      <c r="W10" s="30" t="n">
        <v>0</v>
      </c>
      <c r="X10">
        <f>IF(SUM(Q10:W10)=G10,"TRUE","FALSE")</f>
        <v/>
      </c>
      <c r="Y10" t="s">
        <v>115</v>
      </c>
      <c r="Z10" t="n">
        <v>0</v>
      </c>
      <c r="AA10" t="n">
        <v>0</v>
      </c>
      <c r="AB10" t="n">
        <v>1</v>
      </c>
      <c r="AC10" t="n">
        <v>0</v>
      </c>
      <c r="AD10" t="n">
        <v>0</v>
      </c>
      <c r="AE10" t="n">
        <v>0</v>
      </c>
      <c r="AF10" t="n">
        <v>0</v>
      </c>
      <c r="AG10" t="n">
        <v>0</v>
      </c>
      <c r="AH10" t="n">
        <v>0</v>
      </c>
      <c r="AI10" t="n">
        <v>0</v>
      </c>
      <c r="AJ10" t="n">
        <v>0.05</v>
      </c>
      <c r="AK10">
        <f>AJ10*0.01</f>
        <v/>
      </c>
      <c r="AL10">
        <f>P10*AK10*(Z10+AE10)</f>
        <v/>
      </c>
      <c r="AM10">
        <f>Q10*$AK10*(AA10+AF10)</f>
        <v/>
      </c>
      <c r="AN10">
        <f>R10*$AK10*(AB10+AG10)</f>
        <v/>
      </c>
      <c r="AO10">
        <f>S10*$AK10*(AC10+AH10)</f>
        <v/>
      </c>
      <c r="AP10">
        <f>T10*$AK10*(AD10+AI10)</f>
        <v/>
      </c>
      <c r="AQ10">
        <f>$P10*AE10*$AK10</f>
        <v/>
      </c>
      <c r="AR10">
        <f>$P10*AF10*$AK10</f>
        <v/>
      </c>
      <c r="AS10">
        <f>$P10*AG10*$AK10</f>
        <v/>
      </c>
      <c r="AT10">
        <f>$P10*AH10*$AK10</f>
        <v/>
      </c>
      <c r="AU10">
        <f>$P10*AI10*$AK10</f>
        <v/>
      </c>
      <c r="AV10">
        <f>$P10*Z10*$AK10</f>
        <v/>
      </c>
      <c r="AW10">
        <f>$P10*AA10*$AK10</f>
        <v/>
      </c>
      <c r="AX10">
        <f>$P10*AB10*$AK10</f>
        <v/>
      </c>
      <c r="AY10">
        <f>$P10*AC10*$AK10</f>
        <v/>
      </c>
      <c r="AZ10">
        <f>$P10*AD10*$AK10</f>
        <v/>
      </c>
    </row>
    <row customHeight="1" ht="15" r="11" s="46" spans="1:52">
      <c r="A11" t="n">
        <v>9</v>
      </c>
      <c r="B11" t="s">
        <v>194</v>
      </c>
      <c r="C11" t="s">
        <v>195</v>
      </c>
      <c r="D11" t="s">
        <v>115</v>
      </c>
      <c r="E11" t="s">
        <v>164</v>
      </c>
      <c r="F11" t="s">
        <v>196</v>
      </c>
      <c r="G11" s="12" t="n">
        <v>45</v>
      </c>
      <c r="H11" s="11" t="s">
        <v>166</v>
      </c>
      <c r="I11" t="s">
        <v>189</v>
      </c>
      <c r="J11" t="n">
        <v>0.5</v>
      </c>
      <c r="K11" t="s">
        <v>54</v>
      </c>
      <c r="O11" t="s">
        <v>178</v>
      </c>
      <c r="P11" s="27" t="n">
        <v>0</v>
      </c>
      <c r="Q11" s="30" t="n">
        <v>0</v>
      </c>
      <c r="R11" s="30" t="n">
        <v>0</v>
      </c>
      <c r="S11" s="30" t="n">
        <v>0</v>
      </c>
      <c r="T11" s="30" t="n">
        <v>0</v>
      </c>
      <c r="U11" s="30" t="n">
        <v>0</v>
      </c>
      <c r="V11" s="30" t="n">
        <v>0</v>
      </c>
      <c r="W11" s="30" t="n">
        <v>0</v>
      </c>
      <c r="X11">
        <f>IF(SUM(Q11:W11)=G11,"TRUE","FALSE")</f>
        <v/>
      </c>
      <c r="Y11" t="s">
        <v>115</v>
      </c>
      <c r="Z11" t="n">
        <v>1</v>
      </c>
      <c r="AA11" t="n">
        <v>0</v>
      </c>
      <c r="AB11" t="n">
        <v>0</v>
      </c>
      <c r="AC11" t="n">
        <v>0</v>
      </c>
      <c r="AD11" t="n">
        <v>1</v>
      </c>
      <c r="AE11" t="n">
        <v>0</v>
      </c>
      <c r="AF11" t="n">
        <v>0</v>
      </c>
      <c r="AG11" t="n">
        <v>0</v>
      </c>
      <c r="AH11" t="n">
        <v>0</v>
      </c>
      <c r="AI11" t="n">
        <v>0</v>
      </c>
      <c r="AJ11" t="n">
        <v>0.02</v>
      </c>
      <c r="AK11">
        <f>AJ11*0.01</f>
        <v/>
      </c>
      <c r="AL11">
        <f>P11*AK11*(Z11+AE11)</f>
        <v/>
      </c>
      <c r="AM11">
        <f>Q11*$AK11*(AA11+AF11)</f>
        <v/>
      </c>
      <c r="AN11">
        <f>R11*$AK11*(AB11+AG11)</f>
        <v/>
      </c>
      <c r="AO11">
        <f>S11*$AK11*(AC11+AH11)</f>
        <v/>
      </c>
      <c r="AP11">
        <f>T11*$AK11*(AD11+AI11)</f>
        <v/>
      </c>
      <c r="AQ11">
        <f>$P11*AE11*$AK11</f>
        <v/>
      </c>
      <c r="AR11">
        <f>$P11*AF11*$AK11</f>
        <v/>
      </c>
      <c r="AS11">
        <f>$P11*AG11*$AK11</f>
        <v/>
      </c>
      <c r="AT11">
        <f>$P11*AH11*$AK11</f>
        <v/>
      </c>
      <c r="AU11">
        <f>$P11*AI11*$AK11</f>
        <v/>
      </c>
      <c r="AV11">
        <f>$P11*Z11*$AK11</f>
        <v/>
      </c>
      <c r="AW11">
        <f>$P11*AA11*$AK11</f>
        <v/>
      </c>
      <c r="AX11">
        <f>$P11*AB11*$AK11</f>
        <v/>
      </c>
      <c r="AY11">
        <f>$P11*AC11*$AK11</f>
        <v/>
      </c>
      <c r="AZ11">
        <f>$P11*AD11*$AK11</f>
        <v/>
      </c>
    </row>
    <row customHeight="1" ht="15" r="12" s="46" spans="1:52">
      <c r="A12" t="n">
        <v>10</v>
      </c>
      <c r="B12" t="s">
        <v>197</v>
      </c>
      <c r="C12" t="s">
        <v>198</v>
      </c>
      <c r="D12" t="s">
        <v>115</v>
      </c>
      <c r="E12" t="s">
        <v>164</v>
      </c>
      <c r="F12" t="s">
        <v>20</v>
      </c>
      <c r="G12" s="12" t="s">
        <v>199</v>
      </c>
      <c r="H12" s="11" t="s">
        <v>166</v>
      </c>
      <c r="I12" t="s">
        <v>200</v>
      </c>
      <c r="J12" t="n">
        <v>1</v>
      </c>
      <c r="K12" t="s">
        <v>50</v>
      </c>
      <c r="P12" s="27" t="n">
        <v>0</v>
      </c>
      <c r="Q12" s="30" t="n">
        <v>0</v>
      </c>
      <c r="R12" s="30" t="n">
        <v>0</v>
      </c>
      <c r="S12" s="30" t="n">
        <v>0</v>
      </c>
      <c r="T12" s="30" t="n">
        <v>0</v>
      </c>
      <c r="U12" s="30" t="n">
        <v>0</v>
      </c>
      <c r="V12" s="30" t="n">
        <v>0</v>
      </c>
      <c r="W12" s="30" t="n">
        <v>0</v>
      </c>
      <c r="X12">
        <f>IF(SUM(Q12:W12)=G12,"TRUE","FALSE")</f>
        <v/>
      </c>
      <c r="Y12" t="s">
        <v>115</v>
      </c>
      <c r="Z12" t="n">
        <v>0</v>
      </c>
      <c r="AA12" t="n">
        <v>1</v>
      </c>
      <c r="AB12" t="n">
        <v>0</v>
      </c>
      <c r="AC12" t="n">
        <v>0</v>
      </c>
      <c r="AD12" t="n">
        <v>0</v>
      </c>
      <c r="AE12" t="n">
        <v>0</v>
      </c>
      <c r="AF12" t="n">
        <v>0</v>
      </c>
      <c r="AG12" t="n">
        <v>0</v>
      </c>
      <c r="AH12" t="n">
        <v>0</v>
      </c>
      <c r="AI12" t="n">
        <v>0</v>
      </c>
      <c r="AJ12" t="n">
        <v>0.05</v>
      </c>
      <c r="AK12">
        <f>AJ12*0.01</f>
        <v/>
      </c>
      <c r="AL12">
        <f>P12*AK12*(Z12+AE12)</f>
        <v/>
      </c>
      <c r="AM12">
        <f>Q12*$AK12*(AA12+AF12)</f>
        <v/>
      </c>
      <c r="AN12">
        <f>R12*$AK12*(AB12+AG12)</f>
        <v/>
      </c>
      <c r="AO12">
        <f>S12*$AK12*(AC12+AH12)</f>
        <v/>
      </c>
      <c r="AP12">
        <f>T12*$AK12*(AD12+AI12)</f>
        <v/>
      </c>
      <c r="AQ12">
        <f>$P12*AE12*$AK12</f>
        <v/>
      </c>
      <c r="AR12">
        <f>$P12*AF12*$AK12</f>
        <v/>
      </c>
      <c r="AS12">
        <f>$P12*AG12*$AK12</f>
        <v/>
      </c>
      <c r="AT12">
        <f>$P12*AH12*$AK12</f>
        <v/>
      </c>
      <c r="AU12">
        <f>$P12*AI12*$AK12</f>
        <v/>
      </c>
      <c r="AV12">
        <f>$P12*Z12*$AK12</f>
        <v/>
      </c>
      <c r="AW12">
        <f>$P12*AA12*$AK12</f>
        <v/>
      </c>
      <c r="AX12">
        <f>$P12*AB12*$AK12</f>
        <v/>
      </c>
      <c r="AY12">
        <f>$P12*AC12*$AK12</f>
        <v/>
      </c>
      <c r="AZ12">
        <f>$P12*AD12*$AK12</f>
        <v/>
      </c>
    </row>
    <row customHeight="1" ht="15" r="13" s="46" spans="1:52">
      <c r="A13" t="n">
        <v>11</v>
      </c>
      <c r="B13" t="s">
        <v>201</v>
      </c>
      <c r="C13" t="s">
        <v>202</v>
      </c>
      <c r="D13" t="s">
        <v>115</v>
      </c>
      <c r="E13" t="s">
        <v>164</v>
      </c>
      <c r="F13" t="s">
        <v>21</v>
      </c>
      <c r="G13" s="12" t="n">
        <v>31</v>
      </c>
      <c r="H13" s="11" t="s">
        <v>166</v>
      </c>
      <c r="I13" t="s">
        <v>203</v>
      </c>
      <c r="J13" t="n">
        <v>1</v>
      </c>
      <c r="K13" t="s">
        <v>42</v>
      </c>
      <c r="P13" s="27" t="n">
        <v>0</v>
      </c>
      <c r="Q13" s="30" t="n">
        <v>0</v>
      </c>
      <c r="R13" s="30" t="n">
        <v>0</v>
      </c>
      <c r="S13" s="30" t="n">
        <v>0</v>
      </c>
      <c r="T13" s="30" t="n">
        <v>0</v>
      </c>
      <c r="U13" s="30" t="n">
        <v>0</v>
      </c>
      <c r="V13" s="30" t="n">
        <v>0</v>
      </c>
      <c r="W13" s="30" t="n">
        <v>0</v>
      </c>
      <c r="X13">
        <f>IF(SUM(Q13:W13)=G13,"TRUE","FALSE")</f>
        <v/>
      </c>
      <c r="Y13" t="s">
        <v>115</v>
      </c>
      <c r="Z13" t="n">
        <v>0</v>
      </c>
      <c r="AA13" t="n">
        <v>0</v>
      </c>
      <c r="AB13" t="n">
        <v>1</v>
      </c>
      <c r="AC13" t="n">
        <v>0</v>
      </c>
      <c r="AD13" t="n">
        <v>0</v>
      </c>
      <c r="AE13" t="n">
        <v>0</v>
      </c>
      <c r="AF13" t="n">
        <v>0</v>
      </c>
      <c r="AG13" t="n">
        <v>0</v>
      </c>
      <c r="AH13" t="n">
        <v>0</v>
      </c>
      <c r="AI13" t="n">
        <v>0</v>
      </c>
      <c r="AJ13" t="n">
        <v>0.02</v>
      </c>
      <c r="AK13">
        <f>AJ13*0.01</f>
        <v/>
      </c>
      <c r="AL13">
        <f>P13*AK13*(Z13+AE13)</f>
        <v/>
      </c>
      <c r="AM13">
        <f>Q13*$AK13*(AA13+AF13)</f>
        <v/>
      </c>
      <c r="AN13">
        <f>R13*$AK13*(AB13+AG13)</f>
        <v/>
      </c>
      <c r="AO13">
        <f>S13*$AK13*(AC13+AH13)</f>
        <v/>
      </c>
      <c r="AP13">
        <f>T13*$AK13*(AD13+AI13)</f>
        <v/>
      </c>
      <c r="AQ13">
        <f>$P13*AE13*$AK13</f>
        <v/>
      </c>
      <c r="AR13">
        <f>$P13*AF13*$AK13</f>
        <v/>
      </c>
      <c r="AS13">
        <f>$P13*AG13*$AK13</f>
        <v/>
      </c>
      <c r="AT13">
        <f>$P13*AH13*$AK13</f>
        <v/>
      </c>
      <c r="AU13">
        <f>$P13*AI13*$AK13</f>
        <v/>
      </c>
      <c r="AV13">
        <f>$P13*Z13*$AK13</f>
        <v/>
      </c>
      <c r="AW13">
        <f>$P13*AA13*$AK13</f>
        <v/>
      </c>
      <c r="AX13">
        <f>$P13*AB13*$AK13</f>
        <v/>
      </c>
      <c r="AY13">
        <f>$P13*AC13*$AK13</f>
        <v/>
      </c>
      <c r="AZ13">
        <f>$P13*AD13*$AK13</f>
        <v/>
      </c>
    </row>
    <row customHeight="1" ht="15" r="14" s="46" spans="1:52">
      <c r="A14" t="n">
        <v>12</v>
      </c>
      <c r="B14" t="s">
        <v>204</v>
      </c>
      <c r="C14" t="s">
        <v>205</v>
      </c>
      <c r="D14" t="s">
        <v>115</v>
      </c>
      <c r="E14" t="s">
        <v>164</v>
      </c>
      <c r="F14" t="s">
        <v>21</v>
      </c>
      <c r="G14" s="12" t="n">
        <v>30</v>
      </c>
      <c r="H14" s="11" t="s">
        <v>166</v>
      </c>
      <c r="I14" t="s">
        <v>153</v>
      </c>
      <c r="J14" t="n">
        <v>1</v>
      </c>
      <c r="K14" t="s">
        <v>42</v>
      </c>
      <c r="O14" t="s">
        <v>178</v>
      </c>
      <c r="P14" s="27" t="n">
        <v>0</v>
      </c>
      <c r="Q14" s="30" t="n">
        <v>0</v>
      </c>
      <c r="R14" s="30" t="n">
        <v>0</v>
      </c>
      <c r="S14" s="30" t="n">
        <v>0</v>
      </c>
      <c r="T14" s="30" t="n">
        <v>0</v>
      </c>
      <c r="U14" s="30" t="n">
        <v>0</v>
      </c>
      <c r="V14" s="30" t="n">
        <v>0</v>
      </c>
      <c r="W14" s="30" t="n">
        <v>0</v>
      </c>
      <c r="X14">
        <f>IF(SUM(Q14:W14)=G14,"TRUE","FALSE")</f>
        <v/>
      </c>
      <c r="Y14" t="s">
        <v>115</v>
      </c>
      <c r="Z14" t="n">
        <v>0</v>
      </c>
      <c r="AA14" t="n">
        <v>0</v>
      </c>
      <c r="AB14" t="n">
        <v>1</v>
      </c>
      <c r="AC14" t="n">
        <v>0</v>
      </c>
      <c r="AD14" t="n">
        <v>0</v>
      </c>
      <c r="AE14" t="n">
        <v>0</v>
      </c>
      <c r="AF14" t="n">
        <v>0</v>
      </c>
      <c r="AG14" t="n">
        <v>0</v>
      </c>
      <c r="AH14" t="n">
        <v>0</v>
      </c>
      <c r="AI14" t="n">
        <v>0</v>
      </c>
      <c r="AJ14" t="n">
        <v>0.05</v>
      </c>
      <c r="AK14">
        <f>AJ14*0.01</f>
        <v/>
      </c>
      <c r="AL14">
        <f>P14*AK14*(Z14+AE14)</f>
        <v/>
      </c>
      <c r="AM14">
        <f>Q14*$AK14*(AA14+AF14)</f>
        <v/>
      </c>
      <c r="AN14">
        <f>R14*$AK14*(AB14+AG14)</f>
        <v/>
      </c>
      <c r="AO14">
        <f>S14*$AK14*(AC14+AH14)</f>
        <v/>
      </c>
      <c r="AP14">
        <f>T14*$AK14*(AD14+AI14)</f>
        <v/>
      </c>
      <c r="AQ14">
        <f>$P14*AE14*$AK14</f>
        <v/>
      </c>
      <c r="AR14">
        <f>$P14*AF14*$AK14</f>
        <v/>
      </c>
      <c r="AS14">
        <f>$P14*AG14*$AK14</f>
        <v/>
      </c>
      <c r="AT14">
        <f>$P14*AH14*$AK14</f>
        <v/>
      </c>
      <c r="AU14">
        <f>$P14*AI14*$AK14</f>
        <v/>
      </c>
      <c r="AV14">
        <f>$P14*Z14*$AK14</f>
        <v/>
      </c>
      <c r="AW14">
        <f>$P14*AA14*$AK14</f>
        <v/>
      </c>
      <c r="AX14">
        <f>$P14*AB14*$AK14</f>
        <v/>
      </c>
      <c r="AY14">
        <f>$P14*AC14*$AK14</f>
        <v/>
      </c>
      <c r="AZ14">
        <f>$P14*AD14*$AK14</f>
        <v/>
      </c>
    </row>
    <row customHeight="1" ht="15" r="15" s="46" spans="1:52">
      <c r="A15" t="n">
        <v>13</v>
      </c>
      <c r="B15" t="s">
        <v>206</v>
      </c>
      <c r="C15" t="s">
        <v>207</v>
      </c>
      <c r="D15" t="s">
        <v>115</v>
      </c>
      <c r="E15" t="s">
        <v>164</v>
      </c>
      <c r="F15" t="s">
        <v>22</v>
      </c>
      <c r="G15" s="12" t="s">
        <v>208</v>
      </c>
      <c r="H15" s="11" t="s">
        <v>209</v>
      </c>
      <c r="I15" t="s">
        <v>210</v>
      </c>
      <c r="J15" t="n">
        <v>1</v>
      </c>
      <c r="K15" t="s">
        <v>50</v>
      </c>
      <c r="P15" s="27" t="n">
        <v>1</v>
      </c>
      <c r="Q15" s="30" t="n">
        <v>0.8</v>
      </c>
      <c r="R15" s="30" t="n">
        <v>0.01</v>
      </c>
      <c r="S15" s="30" t="n">
        <v>0</v>
      </c>
      <c r="T15" s="30" t="n">
        <v>5.2</v>
      </c>
      <c r="U15" s="30" t="n">
        <v>0</v>
      </c>
      <c r="V15" s="30" t="n">
        <v>0</v>
      </c>
      <c r="W15" s="30" t="n">
        <v>0</v>
      </c>
      <c r="X15">
        <f>IF(SUM(Q15:W15)=G15,"TRUE","FALSE")</f>
        <v/>
      </c>
      <c r="Y15" t="s">
        <v>115</v>
      </c>
      <c r="Z15" t="n">
        <v>0</v>
      </c>
      <c r="AA15" t="n">
        <v>1</v>
      </c>
      <c r="AB15" t="n">
        <v>0</v>
      </c>
      <c r="AC15" t="n">
        <v>1</v>
      </c>
      <c r="AD15" t="n">
        <v>0</v>
      </c>
      <c r="AE15" t="n">
        <v>0</v>
      </c>
      <c r="AF15" t="n">
        <v>0</v>
      </c>
      <c r="AG15" t="n">
        <v>0</v>
      </c>
      <c r="AH15" t="n">
        <v>0</v>
      </c>
      <c r="AI15" t="n">
        <v>0</v>
      </c>
      <c r="AJ15" t="n">
        <v>0.1</v>
      </c>
      <c r="AK15">
        <f>AJ15*0.01</f>
        <v/>
      </c>
      <c r="AL15">
        <f>P15*AK15*(Z15+AE15)</f>
        <v/>
      </c>
      <c r="AM15">
        <f>Q15*$AK15*(AA15+AF15)</f>
        <v/>
      </c>
      <c r="AN15">
        <f>R15*$AK15*(AB15+AG15)</f>
        <v/>
      </c>
      <c r="AO15">
        <f>S15*$AK15*(AC15+AH15)</f>
        <v/>
      </c>
      <c r="AP15">
        <f>T15*$AK15*(AD15+AI15)</f>
        <v/>
      </c>
      <c r="AQ15">
        <f>$P15*AE15*$AK15</f>
        <v/>
      </c>
      <c r="AR15">
        <f>$P15*AF15*$AK15</f>
        <v/>
      </c>
      <c r="AS15">
        <f>$P15*AG15*$AK15</f>
        <v/>
      </c>
      <c r="AT15">
        <f>$P15*AH15*$AK15</f>
        <v/>
      </c>
      <c r="AU15">
        <f>$P15*AI15*$AK15</f>
        <v/>
      </c>
      <c r="AV15">
        <f>$P15*Z15*$AK15</f>
        <v/>
      </c>
      <c r="AW15">
        <f>$P15*AA15*$AK15</f>
        <v/>
      </c>
      <c r="AX15">
        <f>$P15*AB15*$AK15</f>
        <v/>
      </c>
      <c r="AY15">
        <f>$P15*AC15*$AK15</f>
        <v/>
      </c>
      <c r="AZ15">
        <f>$P15*AD15*$AK15</f>
        <v/>
      </c>
    </row>
    <row customHeight="1" ht="15" r="16" s="46" spans="1:52">
      <c r="A16" t="n">
        <v>14</v>
      </c>
      <c r="B16" t="s">
        <v>211</v>
      </c>
      <c r="C16" t="s">
        <v>212</v>
      </c>
      <c r="D16" t="s">
        <v>115</v>
      </c>
      <c r="E16" t="s">
        <v>164</v>
      </c>
      <c r="F16" t="s">
        <v>22</v>
      </c>
      <c r="G16" s="12" t="n">
        <v>1.6</v>
      </c>
      <c r="H16" s="11" t="s">
        <v>209</v>
      </c>
      <c r="I16" t="s">
        <v>213</v>
      </c>
      <c r="J16" t="n">
        <v>0.5</v>
      </c>
      <c r="K16" t="s">
        <v>44</v>
      </c>
      <c r="P16" s="27" t="n">
        <v>0</v>
      </c>
      <c r="Q16" s="30" t="n">
        <v>0</v>
      </c>
      <c r="R16" s="30" t="n">
        <v>0</v>
      </c>
      <c r="S16" s="30" t="n">
        <v>0</v>
      </c>
      <c r="T16" s="30" t="n">
        <v>0</v>
      </c>
      <c r="U16" s="30" t="n">
        <v>0</v>
      </c>
      <c r="V16" s="30" t="n">
        <v>0</v>
      </c>
      <c r="W16" s="30" t="n">
        <v>0</v>
      </c>
      <c r="X16">
        <f>IF(SUM(Q16:W16)=G16,"TRUE","FALSE")</f>
        <v/>
      </c>
      <c r="Y16" t="s">
        <v>115</v>
      </c>
      <c r="Z16" t="n">
        <v>0</v>
      </c>
      <c r="AA16" t="n">
        <v>0</v>
      </c>
      <c r="AB16" t="n">
        <v>0</v>
      </c>
      <c r="AC16" t="n">
        <v>1</v>
      </c>
      <c r="AD16" t="n">
        <v>0</v>
      </c>
      <c r="AE16" t="n">
        <v>0</v>
      </c>
      <c r="AF16" t="n">
        <v>0</v>
      </c>
      <c r="AG16" t="n">
        <v>0</v>
      </c>
      <c r="AH16" t="n">
        <v>0</v>
      </c>
      <c r="AI16" t="n">
        <v>0</v>
      </c>
      <c r="AJ16" t="n">
        <v>0.01</v>
      </c>
      <c r="AK16">
        <f>AJ16*0.01</f>
        <v/>
      </c>
      <c r="AL16">
        <f>P16*AK16*(Z16+AE16)</f>
        <v/>
      </c>
      <c r="AM16">
        <f>Q16*$AK16*(AA16+AF16)</f>
        <v/>
      </c>
      <c r="AN16">
        <f>R16*$AK16*(AB16+AG16)</f>
        <v/>
      </c>
      <c r="AO16">
        <f>S16*$AK16*(AC16+AH16)</f>
        <v/>
      </c>
      <c r="AP16">
        <f>T16*$AK16*(AD16+AI16)</f>
        <v/>
      </c>
      <c r="AQ16">
        <f>$P16*AE16*$AK16</f>
        <v/>
      </c>
      <c r="AR16">
        <f>$P16*AF16*$AK16</f>
        <v/>
      </c>
      <c r="AS16">
        <f>$P16*AG16*$AK16</f>
        <v/>
      </c>
      <c r="AT16">
        <f>$P16*AH16*$AK16</f>
        <v/>
      </c>
      <c r="AU16">
        <f>$P16*AI16*$AK16</f>
        <v/>
      </c>
      <c r="AV16">
        <f>$P16*Z16*$AK16</f>
        <v/>
      </c>
      <c r="AW16">
        <f>$P16*AA16*$AK16</f>
        <v/>
      </c>
      <c r="AX16">
        <f>$P16*AB16*$AK16</f>
        <v/>
      </c>
      <c r="AY16">
        <f>$P16*AC16*$AK16</f>
        <v/>
      </c>
      <c r="AZ16">
        <f>$P16*AD16*$AK16</f>
        <v/>
      </c>
    </row>
    <row customHeight="1" ht="15" r="17" s="46" spans="1:52">
      <c r="A17" t="n">
        <v>15</v>
      </c>
      <c r="B17" t="s">
        <v>211</v>
      </c>
      <c r="C17" t="s">
        <v>214</v>
      </c>
      <c r="D17" t="s">
        <v>115</v>
      </c>
      <c r="E17" t="s">
        <v>164</v>
      </c>
      <c r="F17" t="s">
        <v>21</v>
      </c>
      <c r="G17" s="12" t="n">
        <v>1.6</v>
      </c>
      <c r="H17" s="11" t="s">
        <v>209</v>
      </c>
      <c r="I17" t="s">
        <v>203</v>
      </c>
      <c r="J17" t="n">
        <v>0.5</v>
      </c>
      <c r="K17" t="s">
        <v>42</v>
      </c>
      <c r="P17" s="27" t="n">
        <v>0</v>
      </c>
      <c r="Q17" s="30" t="n">
        <v>0</v>
      </c>
      <c r="R17" s="30" t="n">
        <v>0</v>
      </c>
      <c r="S17" s="30" t="n">
        <v>0</v>
      </c>
      <c r="T17" s="30" t="n">
        <v>0</v>
      </c>
      <c r="U17" s="30" t="n">
        <v>0</v>
      </c>
      <c r="V17" s="30" t="n">
        <v>0</v>
      </c>
      <c r="W17" s="30" t="n">
        <v>0</v>
      </c>
      <c r="X17">
        <f>IF(SUM(Q17:W17)=G17,"TRUE","FALSE")</f>
        <v/>
      </c>
      <c r="Y17" t="s">
        <v>115</v>
      </c>
      <c r="Z17" t="n">
        <v>0</v>
      </c>
      <c r="AA17" t="n">
        <v>0</v>
      </c>
      <c r="AB17" t="n">
        <v>1</v>
      </c>
      <c r="AC17" t="n">
        <v>0</v>
      </c>
      <c r="AD17" t="n">
        <v>0</v>
      </c>
      <c r="AE17" t="n">
        <v>0</v>
      </c>
      <c r="AF17" t="n">
        <v>0</v>
      </c>
      <c r="AG17" t="n">
        <v>0</v>
      </c>
      <c r="AH17" t="n">
        <v>0</v>
      </c>
      <c r="AI17" t="n">
        <v>0</v>
      </c>
      <c r="AJ17" t="n">
        <v>0.01</v>
      </c>
      <c r="AK17">
        <f>AJ17*0.01</f>
        <v/>
      </c>
      <c r="AL17">
        <f>P17*AK17*(Z17+AE17)</f>
        <v/>
      </c>
      <c r="AM17">
        <f>Q17*$AK17*(AA17+AF17)</f>
        <v/>
      </c>
      <c r="AN17">
        <f>R17*$AK17*(AB17+AG17)</f>
        <v/>
      </c>
      <c r="AO17">
        <f>S17*$AK17*(AC17+AH17)</f>
        <v/>
      </c>
      <c r="AP17">
        <f>T17*$AK17*(AD17+AI17)</f>
        <v/>
      </c>
      <c r="AQ17">
        <f>$P17*AE17*$AK17</f>
        <v/>
      </c>
      <c r="AR17">
        <f>$P17*AF17*$AK17</f>
        <v/>
      </c>
      <c r="AS17">
        <f>$P17*AG17*$AK17</f>
        <v/>
      </c>
      <c r="AT17">
        <f>$P17*AH17*$AK17</f>
        <v/>
      </c>
      <c r="AU17">
        <f>$P17*AI17*$AK17</f>
        <v/>
      </c>
      <c r="AV17">
        <f>$P17*Z17*$AK17</f>
        <v/>
      </c>
      <c r="AW17">
        <f>$P17*AA17*$AK17</f>
        <v/>
      </c>
      <c r="AX17">
        <f>$P17*AB17*$AK17</f>
        <v/>
      </c>
      <c r="AY17">
        <f>$P17*AC17*$AK17</f>
        <v/>
      </c>
      <c r="AZ17">
        <f>$P17*AD17*$AK17</f>
        <v/>
      </c>
    </row>
    <row customHeight="1" ht="15" r="18" s="46" spans="1:52">
      <c r="A18" t="n">
        <v>16</v>
      </c>
      <c r="B18" t="s">
        <v>215</v>
      </c>
      <c r="C18" t="s">
        <v>216</v>
      </c>
      <c r="D18" t="s">
        <v>115</v>
      </c>
      <c r="E18" t="s">
        <v>164</v>
      </c>
      <c r="F18" t="s">
        <v>22</v>
      </c>
      <c r="G18" s="12" t="n">
        <v>98</v>
      </c>
      <c r="H18" s="11" t="s">
        <v>217</v>
      </c>
      <c r="I18" t="s">
        <v>153</v>
      </c>
      <c r="J18" t="n">
        <v>3</v>
      </c>
      <c r="K18" t="s">
        <v>44</v>
      </c>
      <c r="O18" t="s">
        <v>178</v>
      </c>
      <c r="P18" s="27" t="n">
        <v>0</v>
      </c>
      <c r="Q18" s="30" t="n">
        <v>0</v>
      </c>
      <c r="R18" s="30" t="n">
        <v>0</v>
      </c>
      <c r="S18" s="30" t="n">
        <v>0</v>
      </c>
      <c r="T18" s="30" t="n">
        <v>0</v>
      </c>
      <c r="U18" s="30" t="n">
        <v>0</v>
      </c>
      <c r="V18" s="30" t="n">
        <v>0</v>
      </c>
      <c r="W18" s="30" t="n">
        <v>0</v>
      </c>
      <c r="X18">
        <f>IF(SUM(Q18:W18)=G18,"TRUE","FALSE")</f>
        <v/>
      </c>
      <c r="Y18" t="s">
        <v>115</v>
      </c>
      <c r="Z18" t="n">
        <v>0</v>
      </c>
      <c r="AA18" t="n">
        <v>0</v>
      </c>
      <c r="AB18" t="n">
        <v>1</v>
      </c>
      <c r="AC18" t="n">
        <v>1</v>
      </c>
      <c r="AD18" t="n">
        <v>0</v>
      </c>
      <c r="AE18" t="n">
        <v>0</v>
      </c>
      <c r="AF18" t="n">
        <v>0</v>
      </c>
      <c r="AG18" t="n">
        <v>0</v>
      </c>
      <c r="AH18" t="n">
        <v>0</v>
      </c>
      <c r="AI18" t="n">
        <v>0</v>
      </c>
      <c r="AJ18" t="n">
        <v>0.1</v>
      </c>
      <c r="AK18">
        <f>AJ18*0.01</f>
        <v/>
      </c>
      <c r="AL18">
        <f>P18*AK18*(Z18+AE18)</f>
        <v/>
      </c>
      <c r="AM18">
        <f>Q18*$AK18*(AA18+AF18)</f>
        <v/>
      </c>
      <c r="AN18">
        <f>R18*$AK18*(AB18+AG18)</f>
        <v/>
      </c>
      <c r="AO18">
        <f>S18*$AK18*(AC18+AH18)</f>
        <v/>
      </c>
      <c r="AP18">
        <f>T18*$AK18*(AD18+AI18)</f>
        <v/>
      </c>
      <c r="AQ18">
        <f>$P18*AE18*$AK18</f>
        <v/>
      </c>
      <c r="AR18">
        <f>$P18*AF18*$AK18</f>
        <v/>
      </c>
      <c r="AS18">
        <f>$P18*AG18*$AK18</f>
        <v/>
      </c>
      <c r="AT18">
        <f>$P18*AH18*$AK18</f>
        <v/>
      </c>
      <c r="AU18">
        <f>$P18*AI18*$AK18</f>
        <v/>
      </c>
      <c r="AV18">
        <f>$P18*Z18*$AK18</f>
        <v/>
      </c>
      <c r="AW18">
        <f>$P18*AA18*$AK18</f>
        <v/>
      </c>
      <c r="AX18">
        <f>$P18*AB18*$AK18</f>
        <v/>
      </c>
      <c r="AY18">
        <f>$P18*AC18*$AK18</f>
        <v/>
      </c>
      <c r="AZ18">
        <f>$P18*AD18*$AK18</f>
        <v/>
      </c>
    </row>
    <row customHeight="1" ht="15" r="19" s="46" spans="1:52">
      <c r="A19" t="n">
        <v>17</v>
      </c>
      <c r="B19" t="s">
        <v>218</v>
      </c>
      <c r="C19" t="s">
        <v>219</v>
      </c>
      <c r="D19" t="s">
        <v>115</v>
      </c>
      <c r="E19" t="s">
        <v>164</v>
      </c>
      <c r="F19" t="s">
        <v>22</v>
      </c>
      <c r="G19" s="12" t="n">
        <v>11</v>
      </c>
      <c r="H19" s="11" t="s">
        <v>166</v>
      </c>
      <c r="I19" t="s">
        <v>213</v>
      </c>
      <c r="J19" t="n">
        <v>1</v>
      </c>
      <c r="K19" t="s">
        <v>44</v>
      </c>
      <c r="P19" s="27" t="n">
        <v>0</v>
      </c>
      <c r="Q19" s="30" t="n">
        <v>0</v>
      </c>
      <c r="R19" s="30" t="n">
        <v>0</v>
      </c>
      <c r="S19" s="30" t="n">
        <v>0</v>
      </c>
      <c r="T19" s="30" t="n">
        <v>0</v>
      </c>
      <c r="U19" s="30" t="n">
        <v>0</v>
      </c>
      <c r="V19" s="30" t="n">
        <v>0</v>
      </c>
      <c r="W19" s="30" t="n">
        <v>0</v>
      </c>
      <c r="X19">
        <f>IF(SUM(Q19:W19)=G19,"TRUE","FALSE")</f>
        <v/>
      </c>
      <c r="Y19" t="s">
        <v>115</v>
      </c>
      <c r="Z19" t="n">
        <v>0</v>
      </c>
      <c r="AA19" t="n">
        <v>0</v>
      </c>
      <c r="AB19" t="n">
        <v>0</v>
      </c>
      <c r="AC19" t="n">
        <v>1</v>
      </c>
      <c r="AD19" t="n">
        <v>0</v>
      </c>
      <c r="AE19" t="n">
        <v>0</v>
      </c>
      <c r="AF19" t="n">
        <v>0</v>
      </c>
      <c r="AG19" t="n">
        <v>0</v>
      </c>
      <c r="AH19" t="n">
        <v>0</v>
      </c>
      <c r="AI19" t="n">
        <v>0</v>
      </c>
      <c r="AJ19" t="n">
        <v>0.05</v>
      </c>
      <c r="AK19">
        <f>AJ19*0.01</f>
        <v/>
      </c>
      <c r="AL19">
        <f>P19*AK19*(Z19+AE19)</f>
        <v/>
      </c>
      <c r="AM19">
        <f>Q19*$AK19*(AA19+AF19)</f>
        <v/>
      </c>
      <c r="AN19">
        <f>R19*$AK19*(AB19+AG19)</f>
        <v/>
      </c>
      <c r="AO19">
        <f>S19*$AK19*(AC19+AH19)</f>
        <v/>
      </c>
      <c r="AP19">
        <f>T19*$AK19*(AD19+AI19)</f>
        <v/>
      </c>
      <c r="AQ19">
        <f>$P19*AE19*$AK19</f>
        <v/>
      </c>
      <c r="AR19">
        <f>$P19*AF19*$AK19</f>
        <v/>
      </c>
      <c r="AS19">
        <f>$P19*AG19*$AK19</f>
        <v/>
      </c>
      <c r="AT19">
        <f>$P19*AH19*$AK19</f>
        <v/>
      </c>
      <c r="AU19">
        <f>$P19*AI19*$AK19</f>
        <v/>
      </c>
      <c r="AV19">
        <f>$P19*Z19*$AK19</f>
        <v/>
      </c>
      <c r="AW19">
        <f>$P19*AA19*$AK19</f>
        <v/>
      </c>
      <c r="AX19">
        <f>$P19*AB19*$AK19</f>
        <v/>
      </c>
      <c r="AY19">
        <f>$P19*AC19*$AK19</f>
        <v/>
      </c>
      <c r="AZ19">
        <f>$P19*AD19*$AK19</f>
        <v/>
      </c>
    </row>
    <row customHeight="1" ht="15" r="20" s="46" spans="1:52">
      <c r="A20" t="n">
        <v>18</v>
      </c>
      <c r="B20" t="s">
        <v>220</v>
      </c>
      <c r="C20" t="s">
        <v>221</v>
      </c>
      <c r="D20" t="s">
        <v>115</v>
      </c>
      <c r="E20" t="s">
        <v>164</v>
      </c>
      <c r="F20" t="s">
        <v>222</v>
      </c>
      <c r="G20" s="12" t="s">
        <v>223</v>
      </c>
      <c r="H20" s="11" t="s">
        <v>166</v>
      </c>
      <c r="I20" t="s">
        <v>152</v>
      </c>
      <c r="J20" t="n">
        <v>1</v>
      </c>
      <c r="K20" t="s">
        <v>50</v>
      </c>
      <c r="O20" t="s">
        <v>178</v>
      </c>
      <c r="P20" s="27" t="n">
        <v>0</v>
      </c>
      <c r="Q20" s="30" t="n">
        <v>0</v>
      </c>
      <c r="R20" s="30" t="n">
        <v>0</v>
      </c>
      <c r="S20" s="30" t="n">
        <v>0</v>
      </c>
      <c r="T20" s="30" t="n">
        <v>0</v>
      </c>
      <c r="U20" s="30" t="n">
        <v>0</v>
      </c>
      <c r="V20" s="30" t="n">
        <v>0</v>
      </c>
      <c r="W20" s="30" t="n">
        <v>0</v>
      </c>
      <c r="X20">
        <f>IF(SUM(Q20:W20)=G20,"TRUE","FALSE")</f>
        <v/>
      </c>
      <c r="Y20" t="s">
        <v>115</v>
      </c>
      <c r="Z20" t="n">
        <v>0</v>
      </c>
      <c r="AA20" t="n">
        <v>1</v>
      </c>
      <c r="AB20" t="n">
        <v>1</v>
      </c>
      <c r="AC20" t="n">
        <v>0</v>
      </c>
      <c r="AD20" t="n">
        <v>0</v>
      </c>
      <c r="AE20" t="n">
        <v>0</v>
      </c>
      <c r="AF20" t="n">
        <v>0</v>
      </c>
      <c r="AG20" t="n">
        <v>0</v>
      </c>
      <c r="AH20" t="n">
        <v>0</v>
      </c>
      <c r="AI20" t="n">
        <v>0</v>
      </c>
      <c r="AJ20" t="n">
        <v>0.1</v>
      </c>
      <c r="AK20">
        <f>AJ20*0.01</f>
        <v/>
      </c>
      <c r="AL20">
        <f>P20*AK20*(Z20+AE20)</f>
        <v/>
      </c>
      <c r="AM20">
        <f>Q20*$AK20*(AA20+AF20)</f>
        <v/>
      </c>
      <c r="AN20">
        <f>R20*$AK20*(AB20+AG20)</f>
        <v/>
      </c>
      <c r="AO20">
        <f>S20*$AK20*(AC20+AH20)</f>
        <v/>
      </c>
      <c r="AP20">
        <f>T20*$AK20*(AD20+AI20)</f>
        <v/>
      </c>
      <c r="AQ20">
        <f>$P20*AE20*$AK20</f>
        <v/>
      </c>
      <c r="AR20">
        <f>$P20*AF20*$AK20</f>
        <v/>
      </c>
      <c r="AS20">
        <f>$P20*AG20*$AK20</f>
        <v/>
      </c>
      <c r="AT20">
        <f>$P20*AH20*$AK20</f>
        <v/>
      </c>
      <c r="AU20">
        <f>$P20*AI20*$AK20</f>
        <v/>
      </c>
      <c r="AV20">
        <f>$P20*Z20*$AK20</f>
        <v/>
      </c>
      <c r="AW20">
        <f>$P20*AA20*$AK20</f>
        <v/>
      </c>
      <c r="AX20">
        <f>$P20*AB20*$AK20</f>
        <v/>
      </c>
      <c r="AY20">
        <f>$P20*AC20*$AK20</f>
        <v/>
      </c>
      <c r="AZ20">
        <f>$P20*AD20*$AK20</f>
        <v/>
      </c>
    </row>
    <row customHeight="1" ht="15" r="21" s="46" spans="1:52">
      <c r="A21" t="n">
        <v>19</v>
      </c>
      <c r="B21" t="s">
        <v>224</v>
      </c>
      <c r="C21" t="s">
        <v>225</v>
      </c>
      <c r="D21" t="s">
        <v>115</v>
      </c>
      <c r="E21" t="s">
        <v>164</v>
      </c>
      <c r="F21" t="s">
        <v>23</v>
      </c>
      <c r="G21" s="12" t="n">
        <v>49</v>
      </c>
      <c r="H21" s="11" t="s">
        <v>166</v>
      </c>
      <c r="I21" t="s">
        <v>153</v>
      </c>
      <c r="J21" t="n">
        <v>3</v>
      </c>
      <c r="K21" t="s">
        <v>54</v>
      </c>
      <c r="O21" t="s">
        <v>178</v>
      </c>
      <c r="P21" s="27" t="n">
        <v>1</v>
      </c>
      <c r="Q21" s="30" t="n">
        <v>0</v>
      </c>
      <c r="R21" s="30" t="n">
        <v>0</v>
      </c>
      <c r="S21" s="30" t="n">
        <v>0</v>
      </c>
      <c r="T21" s="30" t="n">
        <v>30</v>
      </c>
      <c r="U21" s="30" t="n">
        <v>0</v>
      </c>
      <c r="V21" s="30" t="n">
        <v>0</v>
      </c>
      <c r="W21" s="30" t="n">
        <v>0</v>
      </c>
      <c r="X21">
        <f>IF(SUM(Q21:W21)=G21,"TRUE","FALSE")</f>
        <v/>
      </c>
      <c r="Y21" t="s">
        <v>115</v>
      </c>
      <c r="Z21" t="n">
        <v>1</v>
      </c>
      <c r="AA21" t="n">
        <v>0</v>
      </c>
      <c r="AB21" t="n">
        <v>0</v>
      </c>
      <c r="AC21" t="n">
        <v>0</v>
      </c>
      <c r="AD21" t="n">
        <v>1</v>
      </c>
      <c r="AE21" t="n">
        <v>0</v>
      </c>
      <c r="AF21" t="n">
        <v>0</v>
      </c>
      <c r="AG21" t="n">
        <v>0</v>
      </c>
      <c r="AH21" t="n">
        <v>0</v>
      </c>
      <c r="AI21" t="n">
        <v>0</v>
      </c>
      <c r="AJ21" t="n">
        <v>0.1</v>
      </c>
      <c r="AK21">
        <f>AJ21*0.01</f>
        <v/>
      </c>
      <c r="AL21">
        <f>P21*AK21*(Z21+AE21)</f>
        <v/>
      </c>
      <c r="AM21">
        <f>Q21*$AK21*(AA21+AF21)</f>
        <v/>
      </c>
      <c r="AN21">
        <f>R21*$AK21*(AB21+AG21)</f>
        <v/>
      </c>
      <c r="AO21">
        <f>S21*$AK21*(AC21+AH21)</f>
        <v/>
      </c>
      <c r="AP21">
        <f>T21*$AK21*(AD21+AI21)</f>
        <v/>
      </c>
      <c r="AQ21">
        <f>$P21*AE21*$AK21</f>
        <v/>
      </c>
      <c r="AR21">
        <f>$P21*AF21*$AK21</f>
        <v/>
      </c>
      <c r="AS21">
        <f>$P21*AG21*$AK21</f>
        <v/>
      </c>
      <c r="AT21">
        <f>$P21*AH21*$AK21</f>
        <v/>
      </c>
      <c r="AU21">
        <f>$P21*AI21*$AK21</f>
        <v/>
      </c>
      <c r="AV21">
        <f>$P21*Z21*$AK21</f>
        <v/>
      </c>
      <c r="AW21">
        <f>$P21*AA21*$AK21</f>
        <v/>
      </c>
      <c r="AX21">
        <f>$P21*AB21*$AK21</f>
        <v/>
      </c>
      <c r="AY21">
        <f>$P21*AC21*$AK21</f>
        <v/>
      </c>
      <c r="AZ21">
        <f>$P21*AD21*$AK21</f>
        <v/>
      </c>
    </row>
    <row customHeight="1" ht="15" r="22" s="46" spans="1:52">
      <c r="A22" t="n">
        <v>20</v>
      </c>
      <c r="B22" t="s">
        <v>226</v>
      </c>
      <c r="C22" t="s">
        <v>227</v>
      </c>
      <c r="D22" t="s">
        <v>115</v>
      </c>
      <c r="E22" t="s">
        <v>164</v>
      </c>
      <c r="F22" t="s">
        <v>23</v>
      </c>
      <c r="G22" s="12" t="n">
        <v>291</v>
      </c>
      <c r="H22" s="11" t="s">
        <v>166</v>
      </c>
      <c r="I22" t="s">
        <v>153</v>
      </c>
      <c r="J22" t="n">
        <v>3</v>
      </c>
      <c r="K22" t="s">
        <v>57</v>
      </c>
      <c r="O22" t="s">
        <v>178</v>
      </c>
      <c r="P22" s="27" t="n">
        <v>0</v>
      </c>
      <c r="Q22" s="30" t="n">
        <v>0</v>
      </c>
      <c r="R22" s="30" t="n">
        <v>0</v>
      </c>
      <c r="S22" s="30" t="n">
        <v>0</v>
      </c>
      <c r="T22" s="30" t="n">
        <v>0</v>
      </c>
      <c r="U22" s="30" t="n">
        <v>0</v>
      </c>
      <c r="V22" s="30" t="n">
        <v>0</v>
      </c>
      <c r="W22" s="30" t="n">
        <v>0</v>
      </c>
      <c r="X22">
        <f>IF(SUM(Q22:W22)=G22,"TRUE","FALSE")</f>
        <v/>
      </c>
      <c r="Y22" t="s">
        <v>115</v>
      </c>
      <c r="Z22" t="n">
        <v>1</v>
      </c>
      <c r="AA22" t="n">
        <v>0</v>
      </c>
      <c r="AB22" t="n">
        <v>0</v>
      </c>
      <c r="AC22" t="n">
        <v>0</v>
      </c>
      <c r="AD22" t="n">
        <v>1</v>
      </c>
      <c r="AE22" t="n">
        <v>0</v>
      </c>
      <c r="AF22" t="n">
        <v>0</v>
      </c>
      <c r="AG22" t="n">
        <v>0</v>
      </c>
      <c r="AH22" t="n">
        <v>0</v>
      </c>
      <c r="AI22" t="n">
        <v>0</v>
      </c>
      <c r="AJ22" t="n">
        <v>0.1</v>
      </c>
      <c r="AK22">
        <f>AJ22*0.01</f>
        <v/>
      </c>
      <c r="AL22">
        <f>P22*AK22*(Z22+AE22)</f>
        <v/>
      </c>
      <c r="AM22">
        <f>Q22*$AK22*(AA22+AF22)</f>
        <v/>
      </c>
      <c r="AN22">
        <f>R22*$AK22*(AB22+AG22)</f>
        <v/>
      </c>
      <c r="AO22">
        <f>S22*$AK22*(AC22+AH22)</f>
        <v/>
      </c>
      <c r="AP22">
        <f>T22*$AK22*(AD22+AI22)</f>
        <v/>
      </c>
      <c r="AQ22">
        <f>$P22*AE22*$AK22</f>
        <v/>
      </c>
      <c r="AR22">
        <f>$P22*AF22*$AK22</f>
        <v/>
      </c>
      <c r="AS22">
        <f>$P22*AG22*$AK22</f>
        <v/>
      </c>
      <c r="AT22">
        <f>$P22*AH22*$AK22</f>
        <v/>
      </c>
      <c r="AU22">
        <f>$P22*AI22*$AK22</f>
        <v/>
      </c>
      <c r="AV22">
        <f>$P22*Z22*$AK22</f>
        <v/>
      </c>
      <c r="AW22">
        <f>$P22*AA22*$AK22</f>
        <v/>
      </c>
      <c r="AX22">
        <f>$P22*AB22*$AK22</f>
        <v/>
      </c>
      <c r="AY22">
        <f>$P22*AC22*$AK22</f>
        <v/>
      </c>
      <c r="AZ22">
        <f>$P22*AD22*$AK22</f>
        <v/>
      </c>
    </row>
    <row customHeight="1" ht="15" r="23" s="46" spans="1:52">
      <c r="A23" t="n">
        <v>21</v>
      </c>
      <c r="B23" t="s">
        <v>228</v>
      </c>
      <c r="C23" t="s">
        <v>229</v>
      </c>
      <c r="D23" t="s">
        <v>115</v>
      </c>
      <c r="E23" t="s">
        <v>164</v>
      </c>
      <c r="F23" t="s">
        <v>23</v>
      </c>
      <c r="G23" s="12" t="n">
        <v>1.5</v>
      </c>
      <c r="H23" s="11" t="s">
        <v>166</v>
      </c>
      <c r="I23" t="s">
        <v>230</v>
      </c>
      <c r="J23" t="n">
        <v>1</v>
      </c>
      <c r="K23" t="s">
        <v>57</v>
      </c>
      <c r="P23" s="27" t="n">
        <v>0</v>
      </c>
      <c r="Q23" s="30" t="n">
        <v>0</v>
      </c>
      <c r="R23" s="30" t="n">
        <v>0</v>
      </c>
      <c r="S23" s="30" t="n">
        <v>0</v>
      </c>
      <c r="T23" s="30" t="n">
        <v>0</v>
      </c>
      <c r="U23" s="30" t="n">
        <v>0</v>
      </c>
      <c r="V23" s="30" t="n">
        <v>0</v>
      </c>
      <c r="W23" s="30" t="n">
        <v>0</v>
      </c>
      <c r="X23">
        <f>IF(SUM(Q23:W23)=G23,"TRUE","FALSE")</f>
        <v/>
      </c>
      <c r="Y23" t="s">
        <v>115</v>
      </c>
      <c r="Z23" t="n">
        <v>0</v>
      </c>
      <c r="AA23" t="n">
        <v>0</v>
      </c>
      <c r="AB23" t="n">
        <v>0</v>
      </c>
      <c r="AC23" t="n">
        <v>0</v>
      </c>
      <c r="AD23" t="n">
        <v>1</v>
      </c>
      <c r="AE23" t="n">
        <v>0</v>
      </c>
      <c r="AF23" t="n">
        <v>0</v>
      </c>
      <c r="AG23" t="n">
        <v>0</v>
      </c>
      <c r="AH23" t="n">
        <v>0</v>
      </c>
      <c r="AI23" t="n">
        <v>0</v>
      </c>
      <c r="AJ23" t="n">
        <v>-0.05</v>
      </c>
      <c r="AK23">
        <f>AJ23*0.01</f>
        <v/>
      </c>
      <c r="AL23">
        <f>P23*AK23*(Z23+AE23)</f>
        <v/>
      </c>
      <c r="AM23">
        <f>Q23*$AK23*(AA23+AF23)</f>
        <v/>
      </c>
      <c r="AN23">
        <f>R23*$AK23*(AB23+AG23)</f>
        <v/>
      </c>
      <c r="AO23">
        <f>S23*$AK23*(AC23+AH23)</f>
        <v/>
      </c>
      <c r="AP23">
        <f>T23*$AK23*(AD23+AI23)</f>
        <v/>
      </c>
      <c r="AQ23">
        <f>$P23*AE23*$AK23</f>
        <v/>
      </c>
      <c r="AR23">
        <f>$P23*AF23*$AK23</f>
        <v/>
      </c>
      <c r="AS23">
        <f>$P23*AG23*$AK23</f>
        <v/>
      </c>
      <c r="AT23">
        <f>$P23*AH23*$AK23</f>
        <v/>
      </c>
      <c r="AU23">
        <f>$P23*AI23*$AK23</f>
        <v/>
      </c>
      <c r="AV23">
        <f>$P23*Z23*$AK23</f>
        <v/>
      </c>
      <c r="AW23">
        <f>$P23*AA23*$AK23</f>
        <v/>
      </c>
      <c r="AX23">
        <f>$P23*AB23*$AK23</f>
        <v/>
      </c>
      <c r="AY23">
        <f>$P23*AC23*$AK23</f>
        <v/>
      </c>
      <c r="AZ23">
        <f>$P23*AD23*$AK23</f>
        <v/>
      </c>
    </row>
    <row customHeight="1" ht="15" r="24" s="46" spans="1:52">
      <c r="A24" t="n">
        <v>22</v>
      </c>
      <c r="B24" t="s">
        <v>231</v>
      </c>
      <c r="C24" t="s">
        <v>232</v>
      </c>
      <c r="D24" t="s">
        <v>115</v>
      </c>
      <c r="E24" t="s">
        <v>164</v>
      </c>
      <c r="F24" t="s">
        <v>23</v>
      </c>
      <c r="G24" s="12" t="n">
        <v>9.5</v>
      </c>
      <c r="H24" s="11" t="s">
        <v>166</v>
      </c>
      <c r="I24" t="s">
        <v>230</v>
      </c>
      <c r="J24" t="n">
        <v>1</v>
      </c>
      <c r="K24" t="s">
        <v>54</v>
      </c>
      <c r="P24" s="27" t="n">
        <v>0</v>
      </c>
      <c r="Q24" s="30" t="n">
        <v>0</v>
      </c>
      <c r="R24" s="30" t="n">
        <v>0</v>
      </c>
      <c r="S24" s="30" t="n">
        <v>0</v>
      </c>
      <c r="T24" s="30" t="n">
        <v>0</v>
      </c>
      <c r="U24" s="30" t="n">
        <v>0</v>
      </c>
      <c r="V24" s="30" t="n">
        <v>0</v>
      </c>
      <c r="W24" s="30" t="n">
        <v>0</v>
      </c>
      <c r="X24">
        <f>IF(SUM(Q24:W24)=G24,"TRUE","FALSE")</f>
        <v/>
      </c>
      <c r="Y24" t="s">
        <v>115</v>
      </c>
      <c r="Z24" t="n">
        <v>0</v>
      </c>
      <c r="AA24" t="n">
        <v>0</v>
      </c>
      <c r="AB24" t="n">
        <v>0</v>
      </c>
      <c r="AC24" t="n">
        <v>0</v>
      </c>
      <c r="AD24" t="n">
        <v>1</v>
      </c>
      <c r="AE24" t="n">
        <v>0</v>
      </c>
      <c r="AF24" t="n">
        <v>0</v>
      </c>
      <c r="AG24" t="n">
        <v>0</v>
      </c>
      <c r="AH24" t="n">
        <v>0</v>
      </c>
      <c r="AI24" t="n">
        <v>0</v>
      </c>
      <c r="AJ24" t="n">
        <v>0.1</v>
      </c>
      <c r="AK24">
        <f>AJ24*0.01</f>
        <v/>
      </c>
      <c r="AL24">
        <f>P24*AK24*(Z24+AE24)</f>
        <v/>
      </c>
      <c r="AM24">
        <f>Q24*$AK24*(AA24+AF24)</f>
        <v/>
      </c>
      <c r="AN24">
        <f>R24*$AK24*(AB24+AG24)</f>
        <v/>
      </c>
      <c r="AO24">
        <f>S24*$AK24*(AC24+AH24)</f>
        <v/>
      </c>
      <c r="AP24">
        <f>T24*$AK24*(AD24+AI24)</f>
        <v/>
      </c>
      <c r="AQ24">
        <f>$P24*AE24*$AK24</f>
        <v/>
      </c>
      <c r="AR24">
        <f>$P24*AF24*$AK24</f>
        <v/>
      </c>
      <c r="AS24">
        <f>$P24*AG24*$AK24</f>
        <v/>
      </c>
      <c r="AT24">
        <f>$P24*AH24*$AK24</f>
        <v/>
      </c>
      <c r="AU24">
        <f>$P24*AI24*$AK24</f>
        <v/>
      </c>
      <c r="AV24">
        <f>$P24*Z24*$AK24</f>
        <v/>
      </c>
      <c r="AW24">
        <f>$P24*AA24*$AK24</f>
        <v/>
      </c>
      <c r="AX24">
        <f>$P24*AB24*$AK24</f>
        <v/>
      </c>
      <c r="AY24">
        <f>$P24*AC24*$AK24</f>
        <v/>
      </c>
      <c r="AZ24">
        <f>$P24*AD24*$AK24</f>
        <v/>
      </c>
    </row>
    <row customHeight="1" ht="15" r="25" s="46" spans="1:52">
      <c r="A25" t="n">
        <v>23</v>
      </c>
      <c r="B25" t="s">
        <v>233</v>
      </c>
      <c r="C25" t="s">
        <v>234</v>
      </c>
      <c r="D25" t="s">
        <v>115</v>
      </c>
      <c r="E25" t="s">
        <v>164</v>
      </c>
      <c r="F25" t="s">
        <v>23</v>
      </c>
      <c r="G25" s="12" t="n">
        <v>4</v>
      </c>
      <c r="H25" s="11" t="s">
        <v>166</v>
      </c>
      <c r="I25" t="s">
        <v>153</v>
      </c>
      <c r="J25" t="n">
        <v>1</v>
      </c>
      <c r="K25" t="s">
        <v>57</v>
      </c>
      <c r="O25" t="s">
        <v>235</v>
      </c>
      <c r="P25" s="27" t="n">
        <v>0</v>
      </c>
      <c r="Q25" s="30" t="n">
        <v>0</v>
      </c>
      <c r="R25" s="30" t="n">
        <v>0</v>
      </c>
      <c r="S25" s="30" t="n">
        <v>0</v>
      </c>
      <c r="T25" s="30" t="n">
        <v>0</v>
      </c>
      <c r="U25" s="30" t="n">
        <v>0</v>
      </c>
      <c r="V25" s="30" t="n">
        <v>0</v>
      </c>
      <c r="W25" s="30" t="n">
        <v>0</v>
      </c>
      <c r="X25">
        <f>IF(SUM(Q25:W25)=G25,"TRUE","FALSE")</f>
        <v/>
      </c>
      <c r="Y25" t="s">
        <v>115</v>
      </c>
      <c r="Z25" t="n">
        <v>0</v>
      </c>
      <c r="AA25" t="n">
        <v>0</v>
      </c>
      <c r="AB25" t="n">
        <v>0</v>
      </c>
      <c r="AC25" t="n">
        <v>0</v>
      </c>
      <c r="AD25" t="n">
        <v>1</v>
      </c>
      <c r="AE25" t="n">
        <v>0</v>
      </c>
      <c r="AF25" t="n">
        <v>0</v>
      </c>
      <c r="AG25" t="n">
        <v>0</v>
      </c>
      <c r="AH25" t="n">
        <v>0</v>
      </c>
      <c r="AI25" t="n">
        <v>0</v>
      </c>
      <c r="AJ25" t="n">
        <v>-0.05</v>
      </c>
      <c r="AK25">
        <f>AJ25*0.01</f>
        <v/>
      </c>
      <c r="AL25">
        <f>P25*AK25*(Z25+AE25)</f>
        <v/>
      </c>
      <c r="AM25">
        <f>Q25*$AK25*(AA25+AF25)</f>
        <v/>
      </c>
      <c r="AN25">
        <f>R25*$AK25*(AB25+AG25)</f>
        <v/>
      </c>
      <c r="AO25">
        <f>S25*$AK25*(AC25+AH25)</f>
        <v/>
      </c>
      <c r="AP25">
        <f>T25*$AK25*(AD25+AI25)</f>
        <v/>
      </c>
      <c r="AQ25">
        <f>$P25*AE25*$AK25</f>
        <v/>
      </c>
      <c r="AR25">
        <f>$P25*AF25*$AK25</f>
        <v/>
      </c>
      <c r="AS25">
        <f>$P25*AG25*$AK25</f>
        <v/>
      </c>
      <c r="AT25">
        <f>$P25*AH25*$AK25</f>
        <v/>
      </c>
      <c r="AU25">
        <f>$P25*AI25*$AK25</f>
        <v/>
      </c>
      <c r="AV25">
        <f>$P25*Z25*$AK25</f>
        <v/>
      </c>
      <c r="AW25">
        <f>$P25*AA25*$AK25</f>
        <v/>
      </c>
      <c r="AX25">
        <f>$P25*AB25*$AK25</f>
        <v/>
      </c>
      <c r="AY25">
        <f>$P25*AC25*$AK25</f>
        <v/>
      </c>
      <c r="AZ25">
        <f>$P25*AD25*$AK25</f>
        <v/>
      </c>
    </row>
    <row customHeight="1" ht="15" r="26" s="46" spans="1:52">
      <c r="A26" t="n">
        <v>24</v>
      </c>
      <c r="B26" t="s">
        <v>236</v>
      </c>
      <c r="C26" t="s">
        <v>237</v>
      </c>
      <c r="D26" t="s">
        <v>115</v>
      </c>
      <c r="E26" t="s">
        <v>164</v>
      </c>
      <c r="F26" t="s">
        <v>23</v>
      </c>
      <c r="G26" s="12" t="n">
        <v>144</v>
      </c>
      <c r="H26" s="11" t="s">
        <v>166</v>
      </c>
      <c r="I26" t="s">
        <v>153</v>
      </c>
      <c r="J26" t="n">
        <v>3</v>
      </c>
      <c r="K26" t="s">
        <v>57</v>
      </c>
      <c r="L26" t="s">
        <v>44</v>
      </c>
      <c r="O26" t="s">
        <v>178</v>
      </c>
      <c r="P26" s="27" t="n">
        <v>0</v>
      </c>
      <c r="Q26" s="30" t="n">
        <v>0</v>
      </c>
      <c r="R26" s="30" t="n">
        <v>0</v>
      </c>
      <c r="S26" s="30" t="n">
        <v>0</v>
      </c>
      <c r="T26" s="30" t="n">
        <v>0</v>
      </c>
      <c r="U26" s="30" t="n">
        <v>0</v>
      </c>
      <c r="V26" s="30" t="n">
        <v>0</v>
      </c>
      <c r="W26" s="30" t="n">
        <v>0</v>
      </c>
      <c r="X26">
        <f>IF(SUM(Q26:W26)=G26,"TRUE","FALSE")</f>
        <v/>
      </c>
      <c r="Y26" t="s">
        <v>115</v>
      </c>
      <c r="Z26" t="n">
        <v>1</v>
      </c>
      <c r="AA26" t="n">
        <v>0</v>
      </c>
      <c r="AB26" t="n">
        <v>1</v>
      </c>
      <c r="AC26" t="n">
        <v>1</v>
      </c>
      <c r="AD26" t="n">
        <v>1</v>
      </c>
      <c r="AE26" t="n">
        <v>0</v>
      </c>
      <c r="AF26" t="n">
        <v>0</v>
      </c>
      <c r="AG26" t="n">
        <v>0</v>
      </c>
      <c r="AH26" t="n">
        <v>0</v>
      </c>
      <c r="AI26" t="n">
        <v>0</v>
      </c>
      <c r="AJ26" t="n">
        <v>0.1</v>
      </c>
      <c r="AK26">
        <f>AJ26*0.01</f>
        <v/>
      </c>
      <c r="AL26">
        <f>P26*AK26*(Z26+AE26)</f>
        <v/>
      </c>
      <c r="AM26">
        <f>Q26*$AK26*(AA26+AF26)</f>
        <v/>
      </c>
      <c r="AN26">
        <f>R26*$AK26*(AB26+AG26)</f>
        <v/>
      </c>
      <c r="AO26">
        <f>S26*$AK26*(AC26+AH26)</f>
        <v/>
      </c>
      <c r="AP26">
        <f>T26*$AK26*(AD26+AI26)</f>
        <v/>
      </c>
      <c r="AQ26">
        <f>$P26*AE26*$AK26</f>
        <v/>
      </c>
      <c r="AR26">
        <f>$P26*AF26*$AK26</f>
        <v/>
      </c>
      <c r="AS26">
        <f>$P26*AG26*$AK26</f>
        <v/>
      </c>
      <c r="AT26">
        <f>$P26*AH26*$AK26</f>
        <v/>
      </c>
      <c r="AU26">
        <f>$P26*AI26*$AK26</f>
        <v/>
      </c>
      <c r="AV26">
        <f>$P26*Z26*$AK26</f>
        <v/>
      </c>
      <c r="AW26">
        <f>$P26*AA26*$AK26</f>
        <v/>
      </c>
      <c r="AX26">
        <f>$P26*AB26*$AK26</f>
        <v/>
      </c>
      <c r="AY26">
        <f>$P26*AC26*$AK26</f>
        <v/>
      </c>
      <c r="AZ26">
        <f>$P26*AD26*$AK26</f>
        <v/>
      </c>
    </row>
    <row customHeight="1" ht="15" r="27" s="46" spans="1:52">
      <c r="A27" t="n">
        <v>25</v>
      </c>
      <c r="B27" t="s">
        <v>238</v>
      </c>
      <c r="C27" t="s">
        <v>239</v>
      </c>
      <c r="D27" t="s">
        <v>115</v>
      </c>
      <c r="E27" t="s">
        <v>164</v>
      </c>
      <c r="F27" t="s">
        <v>23</v>
      </c>
      <c r="G27" s="12" t="n">
        <v>16.5</v>
      </c>
      <c r="H27" s="11" t="s">
        <v>166</v>
      </c>
      <c r="I27" t="s">
        <v>153</v>
      </c>
      <c r="J27" t="n">
        <v>3</v>
      </c>
      <c r="K27" t="s">
        <v>57</v>
      </c>
      <c r="O27" t="s">
        <v>178</v>
      </c>
      <c r="P27" s="27" t="n">
        <v>0</v>
      </c>
      <c r="Q27" s="30" t="n">
        <v>0</v>
      </c>
      <c r="R27" s="30" t="n">
        <v>0</v>
      </c>
      <c r="S27" s="30" t="n">
        <v>0</v>
      </c>
      <c r="T27" s="30" t="n">
        <v>0</v>
      </c>
      <c r="U27" s="30" t="n">
        <v>0</v>
      </c>
      <c r="V27" s="30" t="n">
        <v>0</v>
      </c>
      <c r="W27" s="30" t="n">
        <v>0</v>
      </c>
      <c r="X27">
        <f>IF(SUM(Q27:W27)=G27,"TRUE","FALSE")</f>
        <v/>
      </c>
      <c r="Y27" t="s">
        <v>115</v>
      </c>
      <c r="Z27" t="n">
        <v>0</v>
      </c>
      <c r="AA27" t="n">
        <v>0</v>
      </c>
      <c r="AB27" t="n">
        <v>0</v>
      </c>
      <c r="AC27" t="n">
        <v>0</v>
      </c>
      <c r="AD27" t="n">
        <v>1</v>
      </c>
      <c r="AE27" t="n">
        <v>0</v>
      </c>
      <c r="AF27" t="n">
        <v>0</v>
      </c>
      <c r="AG27" t="n">
        <v>0</v>
      </c>
      <c r="AH27" t="n">
        <v>0</v>
      </c>
      <c r="AI27" t="n">
        <v>0</v>
      </c>
      <c r="AJ27" t="n">
        <v>0.05</v>
      </c>
      <c r="AK27">
        <f>AJ27*0.01</f>
        <v/>
      </c>
      <c r="AL27">
        <f>P27*AK27*(Z27+AE27)</f>
        <v/>
      </c>
      <c r="AM27">
        <f>Q27*$AK27*(AA27+AF27)</f>
        <v/>
      </c>
      <c r="AN27">
        <f>R27*$AK27*(AB27+AG27)</f>
        <v/>
      </c>
      <c r="AO27">
        <f>S27*$AK27*(AC27+AH27)</f>
        <v/>
      </c>
      <c r="AP27">
        <f>T27*$AK27*(AD27+AI27)</f>
        <v/>
      </c>
      <c r="AQ27">
        <f>$P27*AE27*$AK27</f>
        <v/>
      </c>
      <c r="AR27">
        <f>$P27*AF27*$AK27</f>
        <v/>
      </c>
      <c r="AS27">
        <f>$P27*AG27*$AK27</f>
        <v/>
      </c>
      <c r="AT27">
        <f>$P27*AH27*$AK27</f>
        <v/>
      </c>
      <c r="AU27">
        <f>$P27*AI27*$AK27</f>
        <v/>
      </c>
      <c r="AV27">
        <f>$P27*Z27*$AK27</f>
        <v/>
      </c>
      <c r="AW27">
        <f>$P27*AA27*$AK27</f>
        <v/>
      </c>
      <c r="AX27">
        <f>$P27*AB27*$AK27</f>
        <v/>
      </c>
      <c r="AY27">
        <f>$P27*AC27*$AK27</f>
        <v/>
      </c>
      <c r="AZ27">
        <f>$P27*AD27*$AK27</f>
        <v/>
      </c>
    </row>
    <row customHeight="1" ht="15" r="28" s="46" spans="1:52">
      <c r="A28" t="n">
        <v>26</v>
      </c>
      <c r="B28" t="s">
        <v>240</v>
      </c>
      <c r="C28" t="s">
        <v>241</v>
      </c>
      <c r="D28" t="s">
        <v>115</v>
      </c>
      <c r="E28" t="s">
        <v>164</v>
      </c>
      <c r="F28" t="s">
        <v>23</v>
      </c>
      <c r="G28" s="12" t="s">
        <v>242</v>
      </c>
      <c r="H28" s="11" t="s">
        <v>166</v>
      </c>
      <c r="I28" t="s">
        <v>230</v>
      </c>
      <c r="J28" t="n">
        <v>1</v>
      </c>
      <c r="K28" t="s">
        <v>57</v>
      </c>
      <c r="P28" s="27" t="n">
        <v>0</v>
      </c>
      <c r="Q28" s="30" t="n">
        <v>0</v>
      </c>
      <c r="R28" s="30" t="n">
        <v>0</v>
      </c>
      <c r="S28" s="30" t="n">
        <v>0</v>
      </c>
      <c r="T28" s="30" t="n">
        <v>0</v>
      </c>
      <c r="U28" s="30" t="n">
        <v>0</v>
      </c>
      <c r="V28" s="30" t="n">
        <v>0</v>
      </c>
      <c r="W28" s="30" t="n">
        <v>0</v>
      </c>
      <c r="X28">
        <f>IF(SUM(Q28:W28)=G28,"TRUE","FALSE")</f>
        <v/>
      </c>
      <c r="Y28" t="s">
        <v>115</v>
      </c>
      <c r="Z28" t="n">
        <v>0</v>
      </c>
      <c r="AA28" t="n">
        <v>0</v>
      </c>
      <c r="AB28" t="n">
        <v>0</v>
      </c>
      <c r="AC28" t="n">
        <v>0</v>
      </c>
      <c r="AD28" t="n">
        <v>1</v>
      </c>
      <c r="AE28" t="n">
        <v>0</v>
      </c>
      <c r="AF28" t="n">
        <v>0</v>
      </c>
      <c r="AG28" t="n">
        <v>0</v>
      </c>
      <c r="AH28" t="n">
        <v>0</v>
      </c>
      <c r="AI28" t="n">
        <v>0</v>
      </c>
      <c r="AJ28" t="n">
        <v>0.01</v>
      </c>
      <c r="AK28">
        <f>AJ28*0.01</f>
        <v/>
      </c>
      <c r="AL28">
        <f>P28*AK28*(Z28+AE28)</f>
        <v/>
      </c>
      <c r="AM28">
        <f>Q28*$AK28*(AA28+AF28)</f>
        <v/>
      </c>
      <c r="AN28">
        <f>R28*$AK28*(AB28+AG28)</f>
        <v/>
      </c>
      <c r="AO28">
        <f>S28*$AK28*(AC28+AH28)</f>
        <v/>
      </c>
      <c r="AP28">
        <f>T28*$AK28*(AD28+AI28)</f>
        <v/>
      </c>
      <c r="AQ28">
        <f>$P28*AE28*$AK28</f>
        <v/>
      </c>
      <c r="AR28">
        <f>$P28*AF28*$AK28</f>
        <v/>
      </c>
      <c r="AS28">
        <f>$P28*AG28*$AK28</f>
        <v/>
      </c>
      <c r="AT28">
        <f>$P28*AH28*$AK28</f>
        <v/>
      </c>
      <c r="AU28">
        <f>$P28*AI28*$AK28</f>
        <v/>
      </c>
      <c r="AV28">
        <f>$P28*Z28*$AK28</f>
        <v/>
      </c>
      <c r="AW28">
        <f>$P28*AA28*$AK28</f>
        <v/>
      </c>
      <c r="AX28">
        <f>$P28*AB28*$AK28</f>
        <v/>
      </c>
      <c r="AY28">
        <f>$P28*AC28*$AK28</f>
        <v/>
      </c>
      <c r="AZ28">
        <f>$P28*AD28*$AK28</f>
        <v/>
      </c>
    </row>
    <row customHeight="1" ht="15" r="29" s="46" spans="1:52">
      <c r="A29" t="n">
        <v>27</v>
      </c>
      <c r="B29" t="s">
        <v>243</v>
      </c>
      <c r="C29" t="s">
        <v>244</v>
      </c>
      <c r="D29" t="s">
        <v>115</v>
      </c>
      <c r="E29" t="s">
        <v>164</v>
      </c>
      <c r="F29" t="s">
        <v>245</v>
      </c>
      <c r="G29" s="12" t="n">
        <v>66.5</v>
      </c>
      <c r="H29" s="11" t="s">
        <v>166</v>
      </c>
      <c r="I29" t="s">
        <v>153</v>
      </c>
      <c r="J29" t="n">
        <v>1</v>
      </c>
      <c r="K29" t="s">
        <v>44</v>
      </c>
      <c r="O29" t="s">
        <v>178</v>
      </c>
      <c r="P29" s="27" t="n">
        <v>0</v>
      </c>
      <c r="Q29" s="30" t="n">
        <v>0</v>
      </c>
      <c r="R29" s="30" t="n">
        <v>0</v>
      </c>
      <c r="S29" s="30" t="n">
        <v>0</v>
      </c>
      <c r="T29" s="30" t="n">
        <v>0</v>
      </c>
      <c r="U29" s="30" t="n">
        <v>0</v>
      </c>
      <c r="V29" s="30" t="n">
        <v>0</v>
      </c>
      <c r="W29" s="30" t="n">
        <v>0</v>
      </c>
      <c r="X29">
        <f>IF(SUM(Q29:W29)=G29,"TRUE","FALSE")</f>
        <v/>
      </c>
      <c r="Y29" t="s">
        <v>115</v>
      </c>
      <c r="Z29" t="n">
        <v>1</v>
      </c>
      <c r="AA29" t="n">
        <v>0</v>
      </c>
      <c r="AB29" t="n">
        <v>1</v>
      </c>
      <c r="AC29" t="n">
        <v>1</v>
      </c>
      <c r="AD29" t="n">
        <v>1</v>
      </c>
      <c r="AE29" t="n">
        <v>0</v>
      </c>
      <c r="AF29" t="n">
        <v>0</v>
      </c>
      <c r="AG29" t="n">
        <v>0</v>
      </c>
      <c r="AH29" t="n">
        <v>0</v>
      </c>
      <c r="AI29" t="n">
        <v>0</v>
      </c>
      <c r="AJ29" t="n">
        <v>0.05</v>
      </c>
      <c r="AK29">
        <f>AJ29*0.01</f>
        <v/>
      </c>
      <c r="AL29">
        <f>P29*AK29*(Z29+AE29)</f>
        <v/>
      </c>
      <c r="AM29">
        <f>Q29*$AK29*(AA29+AF29)</f>
        <v/>
      </c>
      <c r="AN29">
        <f>R29*$AK29*(AB29+AG29)</f>
        <v/>
      </c>
      <c r="AO29">
        <f>S29*$AK29*(AC29+AH29)</f>
        <v/>
      </c>
      <c r="AP29">
        <f>T29*$AK29*(AD29+AI29)</f>
        <v/>
      </c>
      <c r="AQ29">
        <f>$P29*AE29*$AK29</f>
        <v/>
      </c>
      <c r="AR29">
        <f>$P29*AF29*$AK29</f>
        <v/>
      </c>
      <c r="AS29">
        <f>$P29*AG29*$AK29</f>
        <v/>
      </c>
      <c r="AT29">
        <f>$P29*AH29*$AK29</f>
        <v/>
      </c>
      <c r="AU29">
        <f>$P29*AI29*$AK29</f>
        <v/>
      </c>
      <c r="AV29">
        <f>$P29*Z29*$AK29</f>
        <v/>
      </c>
      <c r="AW29">
        <f>$P29*AA29*$AK29</f>
        <v/>
      </c>
      <c r="AX29">
        <f>$P29*AB29*$AK29</f>
        <v/>
      </c>
      <c r="AY29">
        <f>$P29*AC29*$AK29</f>
        <v/>
      </c>
      <c r="AZ29">
        <f>$P29*AD29*$AK29</f>
        <v/>
      </c>
    </row>
    <row customHeight="1" ht="15" r="30" s="46" spans="1:52">
      <c r="A30" t="n">
        <v>28</v>
      </c>
      <c r="B30" t="s">
        <v>246</v>
      </c>
      <c r="C30" t="s">
        <v>247</v>
      </c>
      <c r="D30" t="s">
        <v>248</v>
      </c>
      <c r="E30" t="s">
        <v>164</v>
      </c>
      <c r="F30" t="s">
        <v>21</v>
      </c>
      <c r="G30" s="12" t="s">
        <v>249</v>
      </c>
      <c r="H30" s="11" t="s">
        <v>166</v>
      </c>
      <c r="I30" t="s">
        <v>153</v>
      </c>
      <c r="J30" t="n">
        <v>1</v>
      </c>
      <c r="K30" t="s">
        <v>42</v>
      </c>
      <c r="O30" t="s">
        <v>178</v>
      </c>
      <c r="P30" s="27" t="n">
        <v>0</v>
      </c>
      <c r="Q30" s="30" t="n">
        <v>0</v>
      </c>
      <c r="R30" s="30" t="n">
        <v>0</v>
      </c>
      <c r="S30" s="30" t="n">
        <v>0</v>
      </c>
      <c r="T30" s="30" t="n">
        <v>0</v>
      </c>
      <c r="U30" s="30" t="n">
        <v>0</v>
      </c>
      <c r="V30" s="30" t="n">
        <v>0</v>
      </c>
      <c r="W30" s="30" t="n">
        <v>0</v>
      </c>
      <c r="X30">
        <f>IF(SUM(Q30:W30)=G30,"TRUE","FALSE")</f>
        <v/>
      </c>
      <c r="Y30" t="s">
        <v>168</v>
      </c>
      <c r="Z30" t="n">
        <v>0</v>
      </c>
      <c r="AA30" t="n">
        <v>0</v>
      </c>
      <c r="AB30" t="n">
        <v>0</v>
      </c>
      <c r="AC30" t="n">
        <v>0</v>
      </c>
      <c r="AD30" t="n">
        <v>0</v>
      </c>
      <c r="AE30" t="n">
        <v>0</v>
      </c>
      <c r="AF30" t="n">
        <v>0</v>
      </c>
      <c r="AG30" t="n">
        <v>1</v>
      </c>
      <c r="AH30" t="n">
        <v>0</v>
      </c>
      <c r="AI30" t="n">
        <v>0</v>
      </c>
      <c r="AJ30" t="n">
        <v>0.05</v>
      </c>
      <c r="AK30">
        <f>AJ30*0.01</f>
        <v/>
      </c>
      <c r="AL30">
        <f>P30*AK30*(Z30+AE30)</f>
        <v/>
      </c>
      <c r="AM30">
        <f>Q30*$AK30*(AA30+AF30)</f>
        <v/>
      </c>
      <c r="AN30">
        <f>R30*$AK30*(AB30+AG30)</f>
        <v/>
      </c>
      <c r="AO30">
        <f>S30*$AK30*(AC30+AH30)</f>
        <v/>
      </c>
      <c r="AP30">
        <f>T30*$AK30*(AD30+AI30)</f>
        <v/>
      </c>
      <c r="AQ30">
        <f>$P30*AE30*$AK30</f>
        <v/>
      </c>
      <c r="AR30">
        <f>$P30*AF30*$AK30</f>
        <v/>
      </c>
      <c r="AS30">
        <f>$P30*AG30*$AK30</f>
        <v/>
      </c>
      <c r="AT30">
        <f>$P30*AH30*$AK30</f>
        <v/>
      </c>
      <c r="AU30">
        <f>$P30*AI30*$AK30</f>
        <v/>
      </c>
      <c r="AV30">
        <f>$P30*Z30*$AK30</f>
        <v/>
      </c>
      <c r="AW30">
        <f>$P30*AA30*$AK30</f>
        <v/>
      </c>
      <c r="AX30">
        <f>$P30*AB30*$AK30</f>
        <v/>
      </c>
      <c r="AY30">
        <f>$P30*AC30*$AK30</f>
        <v/>
      </c>
      <c r="AZ30">
        <f>$P30*AD30*$AK30</f>
        <v/>
      </c>
    </row>
    <row customHeight="1" ht="15" r="31" s="46" spans="1:52">
      <c r="A31" t="n">
        <v>29</v>
      </c>
      <c r="B31" t="s">
        <v>250</v>
      </c>
      <c r="C31" t="s">
        <v>251</v>
      </c>
      <c r="D31" t="s">
        <v>248</v>
      </c>
      <c r="E31" t="s">
        <v>164</v>
      </c>
      <c r="F31" t="s">
        <v>21</v>
      </c>
      <c r="G31" s="12" t="n">
        <v>0.4</v>
      </c>
      <c r="H31" s="11" t="s">
        <v>209</v>
      </c>
      <c r="I31" t="s">
        <v>153</v>
      </c>
      <c r="J31" t="n">
        <v>0.5</v>
      </c>
      <c r="K31" t="s">
        <v>42</v>
      </c>
      <c r="O31" t="s">
        <v>235</v>
      </c>
      <c r="P31" s="27" t="n">
        <v>0</v>
      </c>
      <c r="Q31" s="30" t="n">
        <v>0</v>
      </c>
      <c r="R31" s="30" t="n">
        <v>0</v>
      </c>
      <c r="S31" s="30" t="n">
        <v>0</v>
      </c>
      <c r="T31" s="30" t="n">
        <v>0</v>
      </c>
      <c r="U31" s="30" t="n">
        <v>0</v>
      </c>
      <c r="V31" s="30" t="n">
        <v>0</v>
      </c>
      <c r="W31" s="30" t="n">
        <v>0</v>
      </c>
      <c r="X31">
        <f>IF(SUM(Q31:W31)=G31,"TRUE","FALSE")</f>
        <v/>
      </c>
      <c r="Y31" t="s">
        <v>168</v>
      </c>
      <c r="Z31" t="n">
        <v>0</v>
      </c>
      <c r="AA31" t="n">
        <v>0</v>
      </c>
      <c r="AB31" t="n">
        <v>0</v>
      </c>
      <c r="AC31" t="n">
        <v>0</v>
      </c>
      <c r="AD31" t="n">
        <v>0</v>
      </c>
      <c r="AE31" t="n">
        <v>0</v>
      </c>
      <c r="AF31" t="n">
        <v>0</v>
      </c>
      <c r="AG31" t="n">
        <v>1</v>
      </c>
      <c r="AH31" t="n">
        <v>1</v>
      </c>
      <c r="AI31" t="n">
        <v>0</v>
      </c>
      <c r="AJ31" t="n">
        <v>0.02</v>
      </c>
      <c r="AK31">
        <f>AJ31*0.01</f>
        <v/>
      </c>
      <c r="AL31">
        <f>P31*AK31*(Z31+AE31)</f>
        <v/>
      </c>
      <c r="AM31">
        <f>Q31*$AK31*(AA31+AF31)</f>
        <v/>
      </c>
      <c r="AN31">
        <f>R31*$AK31*(AB31+AG31)</f>
        <v/>
      </c>
      <c r="AO31">
        <f>S31*$AK31*(AC31+AH31)</f>
        <v/>
      </c>
      <c r="AP31">
        <f>T31*$AK31*(AD31+AI31)</f>
        <v/>
      </c>
      <c r="AQ31">
        <f>$P31*AE31*$AK31</f>
        <v/>
      </c>
      <c r="AR31">
        <f>$P31*AF31*$AK31</f>
        <v/>
      </c>
      <c r="AS31">
        <f>$P31*AG31*$AK31</f>
        <v/>
      </c>
      <c r="AT31">
        <f>$P31*AH31*$AK31</f>
        <v/>
      </c>
      <c r="AU31">
        <f>$P31*AI31*$AK31</f>
        <v/>
      </c>
      <c r="AV31">
        <f>$P31*Z31*$AK31</f>
        <v/>
      </c>
      <c r="AW31">
        <f>$P31*AA31*$AK31</f>
        <v/>
      </c>
      <c r="AX31">
        <f>$P31*AB31*$AK31</f>
        <v/>
      </c>
      <c r="AY31">
        <f>$P31*AC31*$AK31</f>
        <v/>
      </c>
      <c r="AZ31">
        <f>$P31*AD31*$AK31</f>
        <v/>
      </c>
    </row>
    <row customHeight="1" ht="15" r="32" s="46" spans="1:52">
      <c r="A32" t="n">
        <v>30</v>
      </c>
      <c r="B32" t="s">
        <v>252</v>
      </c>
      <c r="C32" t="s">
        <v>253</v>
      </c>
      <c r="D32" t="s">
        <v>248</v>
      </c>
      <c r="E32" t="s">
        <v>254</v>
      </c>
      <c r="F32" t="s">
        <v>23</v>
      </c>
      <c r="G32" t="n">
        <v>0.8</v>
      </c>
      <c r="H32" s="11" t="s">
        <v>209</v>
      </c>
      <c r="I32" t="s">
        <v>153</v>
      </c>
      <c r="J32" t="n">
        <v>0.5</v>
      </c>
      <c r="K32" t="s">
        <v>44</v>
      </c>
      <c r="O32" t="s">
        <v>235</v>
      </c>
      <c r="P32" s="27" t="n">
        <v>0</v>
      </c>
      <c r="Q32" s="30" t="n">
        <v>0</v>
      </c>
      <c r="R32" s="30" t="n">
        <v>0</v>
      </c>
      <c r="S32" s="30" t="n">
        <v>0</v>
      </c>
      <c r="T32" s="30" t="n">
        <v>0</v>
      </c>
      <c r="U32" s="30" t="n">
        <v>0</v>
      </c>
      <c r="V32" s="30" t="n">
        <v>0</v>
      </c>
      <c r="W32" s="30" t="n">
        <v>0</v>
      </c>
      <c r="X32">
        <f>IF(SUM(Q32:W32)=G32,"TRUE","FALSE")</f>
        <v/>
      </c>
      <c r="Y32" t="s">
        <v>168</v>
      </c>
      <c r="Z32" t="n">
        <v>0</v>
      </c>
      <c r="AA32" t="n">
        <v>0</v>
      </c>
      <c r="AB32" t="n">
        <v>0</v>
      </c>
      <c r="AC32" t="n">
        <v>0</v>
      </c>
      <c r="AD32" t="n">
        <v>0</v>
      </c>
      <c r="AE32" t="n">
        <v>0</v>
      </c>
      <c r="AF32" t="n">
        <v>0</v>
      </c>
      <c r="AG32" t="n">
        <v>1</v>
      </c>
      <c r="AH32" t="n">
        <v>1</v>
      </c>
      <c r="AI32" t="n">
        <v>1</v>
      </c>
      <c r="AJ32" t="n">
        <v>0.02</v>
      </c>
      <c r="AK32">
        <f>AJ32*0.01</f>
        <v/>
      </c>
      <c r="AL32">
        <f>P32*AK32*(Z32+AE32)</f>
        <v/>
      </c>
      <c r="AM32">
        <f>Q32*$AK32*(AA32+AF32)</f>
        <v/>
      </c>
      <c r="AN32">
        <f>R32*$AK32*(AB32+AG32)</f>
        <v/>
      </c>
      <c r="AO32">
        <f>S32*$AK32*(AC32+AH32)</f>
        <v/>
      </c>
      <c r="AP32">
        <f>T32*$AK32*(AD32+AI32)</f>
        <v/>
      </c>
      <c r="AQ32">
        <f>$P32*AE32*$AK32</f>
        <v/>
      </c>
      <c r="AR32">
        <f>$P32*AF32*$AK32</f>
        <v/>
      </c>
      <c r="AS32">
        <f>$P32*AG32*$AK32</f>
        <v/>
      </c>
      <c r="AT32">
        <f>$P32*AH32*$AK32</f>
        <v/>
      </c>
      <c r="AU32">
        <f>$P32*AI32*$AK32</f>
        <v/>
      </c>
      <c r="AV32">
        <f>$P32*Z32*$AK32</f>
        <v/>
      </c>
      <c r="AW32">
        <f>$P32*AA32*$AK32</f>
        <v/>
      </c>
      <c r="AX32">
        <f>$P32*AB32*$AK32</f>
        <v/>
      </c>
      <c r="AY32">
        <f>$P32*AC32*$AK32</f>
        <v/>
      </c>
      <c r="AZ32">
        <f>$P32*AD32*$AK32</f>
        <v/>
      </c>
    </row>
    <row customFormat="1" customHeight="1" ht="15" r="33" s="23" spans="1:52">
      <c r="A33" s="23" t="n">
        <v>31</v>
      </c>
      <c r="B33" s="23" t="s">
        <v>255</v>
      </c>
      <c r="C33" s="23" t="s">
        <v>256</v>
      </c>
      <c r="D33" s="23" t="s">
        <v>248</v>
      </c>
      <c r="E33" s="23" t="s">
        <v>254</v>
      </c>
      <c r="F33" s="23" t="s">
        <v>176</v>
      </c>
      <c r="G33" s="4" t="n"/>
      <c r="H33" s="22" t="s">
        <v>217</v>
      </c>
      <c r="I33" s="23" t="s">
        <v>189</v>
      </c>
      <c r="J33" s="23" t="n">
        <v>0.5</v>
      </c>
      <c r="K33" s="23" t="s">
        <v>54</v>
      </c>
      <c r="L33" s="23" t="s">
        <v>57</v>
      </c>
      <c r="N33" s="23" t="s">
        <v>57</v>
      </c>
      <c r="O33" s="23" t="s">
        <v>235</v>
      </c>
      <c r="P33" s="27" t="n">
        <v>0</v>
      </c>
      <c r="Q33" s="30" t="n">
        <v>0</v>
      </c>
      <c r="R33" s="30" t="n">
        <v>0</v>
      </c>
      <c r="S33" s="30" t="n">
        <v>0</v>
      </c>
      <c r="T33" s="30" t="n">
        <v>0</v>
      </c>
      <c r="U33" s="30" t="n">
        <v>0</v>
      </c>
      <c r="V33" s="30" t="n">
        <v>0</v>
      </c>
      <c r="W33" s="30" t="n">
        <v>0</v>
      </c>
      <c r="X33">
        <f>IF(SUM(Q33:W33)=G33,"TRUE","FALSE")</f>
        <v/>
      </c>
      <c r="Y33" s="23" t="s">
        <v>168</v>
      </c>
      <c r="Z33" s="23" t="n">
        <v>0</v>
      </c>
      <c r="AA33" s="23" t="n">
        <v>0</v>
      </c>
      <c r="AB33" s="23" t="n">
        <v>0</v>
      </c>
      <c r="AC33" s="23" t="n">
        <v>0</v>
      </c>
      <c r="AD33" s="23" t="n">
        <v>0</v>
      </c>
      <c r="AE33" s="23" t="n">
        <v>1</v>
      </c>
      <c r="AF33" s="23" t="n">
        <v>0</v>
      </c>
      <c r="AG33" s="23" t="n">
        <v>0</v>
      </c>
      <c r="AH33" s="23" t="n">
        <v>0</v>
      </c>
      <c r="AI33" s="23" t="n">
        <v>1</v>
      </c>
      <c r="AJ33" s="23" t="n">
        <v>0.05</v>
      </c>
      <c r="AK33">
        <f>AJ33*0.01</f>
        <v/>
      </c>
      <c r="AL33">
        <f>P33*AK33*(Z33+AE33)</f>
        <v/>
      </c>
      <c r="AM33">
        <f>Q33*$AK33*(AA33+AF33)</f>
        <v/>
      </c>
      <c r="AN33">
        <f>R33*$AK33*(AB33+AG33)</f>
        <v/>
      </c>
      <c r="AO33">
        <f>S33*$AK33*(AC33+AH33)</f>
        <v/>
      </c>
      <c r="AP33">
        <f>T33*$AK33*(AD33+AI33)</f>
        <v/>
      </c>
      <c r="AQ33">
        <f>$P33*AE33*$AK33</f>
        <v/>
      </c>
      <c r="AR33">
        <f>$P33*AF33*$AK33</f>
        <v/>
      </c>
      <c r="AS33">
        <f>$P33*AG33*$AK33</f>
        <v/>
      </c>
      <c r="AT33">
        <f>$P33*AH33*$AK33</f>
        <v/>
      </c>
      <c r="AU33">
        <f>$P33*AI33*$AK33</f>
        <v/>
      </c>
      <c r="AV33">
        <f>$P33*Z33*$AK33</f>
        <v/>
      </c>
      <c r="AW33">
        <f>$P33*AA33*$AK33</f>
        <v/>
      </c>
      <c r="AX33">
        <f>$P33*AB33*$AK33</f>
        <v/>
      </c>
      <c r="AY33">
        <f>$P33*AC33*$AK33</f>
        <v/>
      </c>
      <c r="AZ33">
        <f>$P33*AD33*$AK33</f>
        <v/>
      </c>
    </row>
    <row customHeight="1" ht="15" r="34" s="46" spans="1:52">
      <c r="A34" t="n">
        <v>32</v>
      </c>
      <c r="B34" t="s">
        <v>257</v>
      </c>
      <c r="C34" t="s">
        <v>258</v>
      </c>
      <c r="D34" t="s">
        <v>259</v>
      </c>
      <c r="E34" t="s">
        <v>164</v>
      </c>
      <c r="F34" t="s">
        <v>22</v>
      </c>
      <c r="G34" s="32" t="n">
        <v>0.4</v>
      </c>
      <c r="H34" s="11" t="s">
        <v>209</v>
      </c>
      <c r="I34" t="s">
        <v>153</v>
      </c>
      <c r="J34" t="n">
        <v>0.5</v>
      </c>
      <c r="K34" t="s">
        <v>57</v>
      </c>
      <c r="O34" t="s">
        <v>235</v>
      </c>
      <c r="P34" s="27" t="n">
        <v>0</v>
      </c>
      <c r="Q34" s="30" t="n">
        <v>0</v>
      </c>
      <c r="R34" s="30" t="n">
        <v>0</v>
      </c>
      <c r="S34" s="30" t="n">
        <v>0</v>
      </c>
      <c r="T34" s="30" t="n">
        <v>0</v>
      </c>
      <c r="U34" s="30" t="n">
        <v>0</v>
      </c>
      <c r="V34" s="30" t="n">
        <v>0</v>
      </c>
      <c r="W34" s="30" t="n">
        <v>0</v>
      </c>
      <c r="X34">
        <f>IF(SUM(Q34:W34)=G34,"TRUE","FALSE")</f>
        <v/>
      </c>
      <c r="Y34" t="s">
        <v>168</v>
      </c>
      <c r="Z34" t="n">
        <v>0</v>
      </c>
      <c r="AA34" t="n">
        <v>0</v>
      </c>
      <c r="AB34" t="n">
        <v>0</v>
      </c>
      <c r="AC34" t="n">
        <v>0</v>
      </c>
      <c r="AD34" t="n">
        <v>0</v>
      </c>
      <c r="AE34" t="n">
        <v>0</v>
      </c>
      <c r="AF34" t="n">
        <v>0</v>
      </c>
      <c r="AG34" t="n">
        <v>1</v>
      </c>
      <c r="AH34" t="n">
        <v>1</v>
      </c>
      <c r="AI34" t="n">
        <v>0</v>
      </c>
      <c r="AJ34" t="n">
        <v>0.02</v>
      </c>
      <c r="AK34">
        <f>AJ34*0.01</f>
        <v/>
      </c>
      <c r="AL34">
        <f>P34*AK34*(Z34+AE34)</f>
        <v/>
      </c>
      <c r="AM34">
        <f>Q34*$AK34*(AA34+AF34)</f>
        <v/>
      </c>
      <c r="AN34">
        <f>R34*$AK34*(AB34+AG34)</f>
        <v/>
      </c>
      <c r="AO34">
        <f>S34*$AK34*(AC34+AH34)</f>
        <v/>
      </c>
      <c r="AP34">
        <f>T34*$AK34*(AD34+AI34)</f>
        <v/>
      </c>
      <c r="AQ34">
        <f>$P34*AE34*$AK34</f>
        <v/>
      </c>
      <c r="AR34">
        <f>$P34*AF34*$AK34</f>
        <v/>
      </c>
      <c r="AS34">
        <f>$P34*AG34*$AK34</f>
        <v/>
      </c>
      <c r="AT34">
        <f>$P34*AH34*$AK34</f>
        <v/>
      </c>
      <c r="AU34">
        <f>$P34*AI34*$AK34</f>
        <v/>
      </c>
      <c r="AV34">
        <f>$P34*Z34*$AK34</f>
        <v/>
      </c>
      <c r="AW34">
        <f>$P34*AA34*$AK34</f>
        <v/>
      </c>
      <c r="AX34">
        <f>$P34*AB34*$AK34</f>
        <v/>
      </c>
      <c r="AY34">
        <f>$P34*AC34*$AK34</f>
        <v/>
      </c>
      <c r="AZ34">
        <f>$P34*AD34*$AK34</f>
        <v/>
      </c>
    </row>
    <row customFormat="1" customHeight="1" ht="15" r="35" s="23" spans="1:52">
      <c r="A35" s="23" t="n">
        <v>33</v>
      </c>
      <c r="B35" s="23" t="s">
        <v>260</v>
      </c>
      <c r="C35" s="23" t="s">
        <v>261</v>
      </c>
      <c r="D35" s="23" t="s">
        <v>248</v>
      </c>
      <c r="E35" s="23" t="s">
        <v>254</v>
      </c>
      <c r="F35" s="23" t="s">
        <v>262</v>
      </c>
      <c r="G35" s="4" t="n"/>
      <c r="H35" s="22" t="s">
        <v>209</v>
      </c>
      <c r="I35" s="23" t="s">
        <v>189</v>
      </c>
      <c r="J35" s="23" t="n">
        <v>0.5</v>
      </c>
      <c r="K35" s="23" t="s">
        <v>54</v>
      </c>
      <c r="L35" s="23" t="s">
        <v>57</v>
      </c>
      <c r="M35" s="23" t="s">
        <v>44</v>
      </c>
      <c r="N35" s="23" t="s">
        <v>42</v>
      </c>
      <c r="O35" s="23" t="s">
        <v>235</v>
      </c>
      <c r="P35" s="27" t="n">
        <v>0</v>
      </c>
      <c r="Q35" s="30" t="n">
        <v>0</v>
      </c>
      <c r="R35" s="30" t="n">
        <v>0</v>
      </c>
      <c r="S35" s="30" t="n">
        <v>0</v>
      </c>
      <c r="T35" s="30" t="n">
        <v>0</v>
      </c>
      <c r="U35" s="30" t="n">
        <v>0</v>
      </c>
      <c r="V35" s="30" t="n">
        <v>0</v>
      </c>
      <c r="W35" s="30" t="n">
        <v>0</v>
      </c>
      <c r="X35">
        <f>IF(SUM(Q35:W35)=G35,"TRUE","FALSE")</f>
        <v/>
      </c>
      <c r="Y35" s="23" t="s">
        <v>168</v>
      </c>
      <c r="Z35" s="23" t="n">
        <v>0</v>
      </c>
      <c r="AA35" s="23" t="n">
        <v>0</v>
      </c>
      <c r="AB35" s="23" t="n">
        <v>0</v>
      </c>
      <c r="AC35" s="23" t="n">
        <v>0</v>
      </c>
      <c r="AD35" s="23" t="n">
        <v>0</v>
      </c>
      <c r="AE35" s="23" t="n">
        <v>1</v>
      </c>
      <c r="AF35" s="23" t="n">
        <v>1</v>
      </c>
      <c r="AG35" s="23" t="n">
        <v>1</v>
      </c>
      <c r="AH35" s="23" t="n">
        <v>1</v>
      </c>
      <c r="AI35" s="23" t="n">
        <v>1</v>
      </c>
      <c r="AJ35" s="23" t="n">
        <v>0.1</v>
      </c>
      <c r="AK35">
        <f>AJ35*0.01</f>
        <v/>
      </c>
      <c r="AL35">
        <f>P35*AK35*(Z35+AE35)</f>
        <v/>
      </c>
      <c r="AM35">
        <f>Q35*$AK35*(AA35+AF35)</f>
        <v/>
      </c>
      <c r="AN35">
        <f>R35*$AK35*(AB35+AG35)</f>
        <v/>
      </c>
      <c r="AO35">
        <f>S35*$AK35*(AC35+AH35)</f>
        <v/>
      </c>
      <c r="AP35">
        <f>T35*$AK35*(AD35+AI35)</f>
        <v/>
      </c>
      <c r="AQ35">
        <f>$P35*AE35*$AK35</f>
        <v/>
      </c>
      <c r="AR35">
        <f>$P35*AF35*$AK35</f>
        <v/>
      </c>
      <c r="AS35">
        <f>$P35*AG35*$AK35</f>
        <v/>
      </c>
      <c r="AT35">
        <f>$P35*AH35*$AK35</f>
        <v/>
      </c>
      <c r="AU35">
        <f>$P35*AI35*$AK35</f>
        <v/>
      </c>
      <c r="AV35">
        <f>$P35*Z35*$AK35</f>
        <v/>
      </c>
      <c r="AW35">
        <f>$P35*AA35*$AK35</f>
        <v/>
      </c>
      <c r="AX35">
        <f>$P35*AB35*$AK35</f>
        <v/>
      </c>
      <c r="AY35">
        <f>$P35*AC35*$AK35</f>
        <v/>
      </c>
      <c r="AZ35">
        <f>$P35*AD35*$AK35</f>
        <v/>
      </c>
    </row>
    <row customFormat="1" customHeight="1" ht="15" r="36" s="23" spans="1:52">
      <c r="A36" s="23" t="n">
        <v>34</v>
      </c>
      <c r="B36" s="23" t="s">
        <v>263</v>
      </c>
      <c r="C36" s="23" t="s">
        <v>264</v>
      </c>
      <c r="D36" s="23" t="s">
        <v>248</v>
      </c>
      <c r="E36" s="23" t="s">
        <v>254</v>
      </c>
      <c r="F36" s="23" t="s">
        <v>23</v>
      </c>
      <c r="G36" s="4" t="n"/>
      <c r="H36" s="22" t="s">
        <v>209</v>
      </c>
      <c r="I36" s="23" t="s">
        <v>189</v>
      </c>
      <c r="J36" s="23" t="n">
        <v>0.5</v>
      </c>
      <c r="K36" s="23" t="s">
        <v>54</v>
      </c>
      <c r="O36" s="23" t="s">
        <v>235</v>
      </c>
      <c r="P36" s="27" t="n">
        <v>0</v>
      </c>
      <c r="Q36" s="30" t="n">
        <v>0</v>
      </c>
      <c r="R36" s="30" t="n">
        <v>0</v>
      </c>
      <c r="S36" s="30" t="n">
        <v>0</v>
      </c>
      <c r="T36" s="30" t="n">
        <v>0</v>
      </c>
      <c r="U36" s="30" t="n">
        <v>0</v>
      </c>
      <c r="V36" s="30" t="n">
        <v>0</v>
      </c>
      <c r="W36" s="30" t="n">
        <v>0</v>
      </c>
      <c r="X36">
        <f>IF(SUM(Q36:W36)=G36,"TRUE","FALSE")</f>
        <v/>
      </c>
      <c r="Y36" s="23" t="s">
        <v>168</v>
      </c>
      <c r="Z36" s="23" t="n">
        <v>0</v>
      </c>
      <c r="AA36" s="23" t="n">
        <v>0</v>
      </c>
      <c r="AB36" s="23" t="n">
        <v>0</v>
      </c>
      <c r="AC36" s="23" t="n">
        <v>0</v>
      </c>
      <c r="AD36" s="23" t="n">
        <v>0</v>
      </c>
      <c r="AE36" s="23" t="n">
        <v>0</v>
      </c>
      <c r="AF36" s="23" t="n">
        <v>0</v>
      </c>
      <c r="AG36" s="23" t="n">
        <v>0</v>
      </c>
      <c r="AH36" s="23" t="n">
        <v>0</v>
      </c>
      <c r="AI36" s="23" t="n">
        <v>1</v>
      </c>
      <c r="AJ36" s="23" t="n">
        <v>0.05</v>
      </c>
      <c r="AK36">
        <f>AJ36*0.01</f>
        <v/>
      </c>
      <c r="AL36">
        <f>P36*AK36*(Z36+AE36)</f>
        <v/>
      </c>
      <c r="AM36">
        <f>Q36*$AK36*(AA36+AF36)</f>
        <v/>
      </c>
      <c r="AN36">
        <f>R36*$AK36*(AB36+AG36)</f>
        <v/>
      </c>
      <c r="AO36">
        <f>S36*$AK36*(AC36+AH36)</f>
        <v/>
      </c>
      <c r="AP36">
        <f>T36*$AK36*(AD36+AI36)</f>
        <v/>
      </c>
      <c r="AQ36">
        <f>$P36*AE36*$AK36</f>
        <v/>
      </c>
      <c r="AR36">
        <f>$P36*AF36*$AK36</f>
        <v/>
      </c>
      <c r="AS36">
        <f>$P36*AG36*$AK36</f>
        <v/>
      </c>
      <c r="AT36">
        <f>$P36*AH36*$AK36</f>
        <v/>
      </c>
      <c r="AU36">
        <f>$P36*AI36*$AK36</f>
        <v/>
      </c>
      <c r="AV36">
        <f>$P36*Z36*$AK36</f>
        <v/>
      </c>
      <c r="AW36">
        <f>$P36*AA36*$AK36</f>
        <v/>
      </c>
      <c r="AX36">
        <f>$P36*AB36*$AK36</f>
        <v/>
      </c>
      <c r="AY36">
        <f>$P36*AC36*$AK36</f>
        <v/>
      </c>
      <c r="AZ36">
        <f>$P36*AD36*$AK36</f>
        <v/>
      </c>
    </row>
    <row customHeight="1" ht="15" r="37" s="46" spans="1:52">
      <c r="A37" t="n">
        <v>35</v>
      </c>
      <c r="B37" t="s">
        <v>265</v>
      </c>
      <c r="C37" t="s">
        <v>266</v>
      </c>
      <c r="D37" t="s">
        <v>248</v>
      </c>
      <c r="E37" t="s">
        <v>164</v>
      </c>
      <c r="F37" t="s">
        <v>23</v>
      </c>
      <c r="G37" s="32" t="n">
        <v>30</v>
      </c>
      <c r="H37" s="11" t="s">
        <v>217</v>
      </c>
      <c r="I37" t="s">
        <v>189</v>
      </c>
      <c r="J37" t="n">
        <v>3</v>
      </c>
      <c r="K37" t="s">
        <v>57</v>
      </c>
      <c r="O37" t="s">
        <v>178</v>
      </c>
      <c r="P37" s="27" t="n">
        <v>0</v>
      </c>
      <c r="Q37" s="30" t="n">
        <v>0</v>
      </c>
      <c r="R37" s="30" t="n">
        <v>0</v>
      </c>
      <c r="S37" s="30" t="n">
        <v>0</v>
      </c>
      <c r="T37" s="30" t="n">
        <v>0</v>
      </c>
      <c r="U37" s="30" t="n">
        <v>0</v>
      </c>
      <c r="V37" s="30" t="n">
        <v>0</v>
      </c>
      <c r="W37" s="30" t="n">
        <v>0</v>
      </c>
      <c r="X37">
        <f>IF(SUM(Q37:W37)=G37,"TRUE","FALSE")</f>
        <v/>
      </c>
      <c r="Y37" t="s">
        <v>168</v>
      </c>
      <c r="Z37" t="n">
        <v>0</v>
      </c>
      <c r="AA37" t="n">
        <v>0</v>
      </c>
      <c r="AB37" t="n">
        <v>0</v>
      </c>
      <c r="AC37" t="n">
        <v>0</v>
      </c>
      <c r="AD37" t="n">
        <v>0</v>
      </c>
      <c r="AE37" t="n">
        <v>0</v>
      </c>
      <c r="AF37" t="n">
        <v>0</v>
      </c>
      <c r="AG37" t="n">
        <v>0</v>
      </c>
      <c r="AH37" t="n">
        <v>0</v>
      </c>
      <c r="AI37" t="n">
        <v>1</v>
      </c>
      <c r="AJ37" s="23" t="n">
        <v>0.05</v>
      </c>
      <c r="AK37">
        <f>AJ37*0.01</f>
        <v/>
      </c>
      <c r="AL37">
        <f>P37*AK37*(Z37+AE37)</f>
        <v/>
      </c>
      <c r="AM37">
        <f>Q37*$AK37*(AA37+AF37)</f>
        <v/>
      </c>
      <c r="AN37">
        <f>R37*$AK37*(AB37+AG37)</f>
        <v/>
      </c>
      <c r="AO37">
        <f>S37*$AK37*(AC37+AH37)</f>
        <v/>
      </c>
      <c r="AP37">
        <f>T37*$AK37*(AD37+AI37)</f>
        <v/>
      </c>
      <c r="AQ37">
        <f>$P37*AE37*$AK37</f>
        <v/>
      </c>
      <c r="AR37">
        <f>$P37*AF37*$AK37</f>
        <v/>
      </c>
      <c r="AS37">
        <f>$P37*AG37*$AK37</f>
        <v/>
      </c>
      <c r="AT37">
        <f>$P37*AH37*$AK37</f>
        <v/>
      </c>
      <c r="AU37">
        <f>$P37*AI37*$AK37</f>
        <v/>
      </c>
      <c r="AV37">
        <f>$P37*Z37*$AK37</f>
        <v/>
      </c>
      <c r="AW37">
        <f>$P37*AA37*$AK37</f>
        <v/>
      </c>
      <c r="AX37">
        <f>$P37*AB37*$AK37</f>
        <v/>
      </c>
      <c r="AY37">
        <f>$P37*AC37*$AK37</f>
        <v/>
      </c>
      <c r="AZ37">
        <f>$P37*AD37*$AK37</f>
        <v/>
      </c>
    </row>
    <row customHeight="1" ht="15" r="38" s="46" spans="1:52">
      <c r="A38" t="n">
        <v>36</v>
      </c>
      <c r="B38" s="10" t="s">
        <v>267</v>
      </c>
      <c r="C38" t="s">
        <v>268</v>
      </c>
      <c r="D38" t="s">
        <v>248</v>
      </c>
      <c r="E38" t="s">
        <v>164</v>
      </c>
      <c r="F38" t="s">
        <v>21</v>
      </c>
      <c r="G38" t="n">
        <v>3.2</v>
      </c>
      <c r="H38" s="11" t="s">
        <v>166</v>
      </c>
      <c r="I38" t="s">
        <v>189</v>
      </c>
      <c r="J38" t="n">
        <v>1</v>
      </c>
      <c r="K38" t="s">
        <v>42</v>
      </c>
      <c r="O38" t="s">
        <v>235</v>
      </c>
      <c r="P38" s="27" t="n">
        <v>0</v>
      </c>
      <c r="Q38" s="30" t="n">
        <v>0</v>
      </c>
      <c r="R38" s="30" t="n">
        <v>0</v>
      </c>
      <c r="S38" s="30" t="n">
        <v>0</v>
      </c>
      <c r="T38" s="30" t="n">
        <v>0</v>
      </c>
      <c r="U38" s="30" t="n">
        <v>0</v>
      </c>
      <c r="V38" s="30" t="n">
        <v>0</v>
      </c>
      <c r="W38" s="30" t="n">
        <v>0</v>
      </c>
      <c r="X38">
        <f>IF(SUM(Q38:W38)=G38,"TRUE","FALSE")</f>
        <v/>
      </c>
      <c r="Y38" t="s">
        <v>168</v>
      </c>
      <c r="Z38" t="n">
        <v>0</v>
      </c>
      <c r="AA38" t="n">
        <v>0</v>
      </c>
      <c r="AB38" t="n">
        <v>0</v>
      </c>
      <c r="AC38" t="n">
        <v>0</v>
      </c>
      <c r="AD38" t="n">
        <v>0</v>
      </c>
      <c r="AE38" t="n">
        <v>0</v>
      </c>
      <c r="AF38" t="n">
        <v>0</v>
      </c>
      <c r="AG38" t="n">
        <v>1</v>
      </c>
      <c r="AH38" t="n">
        <v>0</v>
      </c>
      <c r="AI38" t="n">
        <v>0</v>
      </c>
      <c r="AJ38" s="23" t="n">
        <v>0.02</v>
      </c>
      <c r="AK38">
        <f>AJ38*0.01</f>
        <v/>
      </c>
      <c r="AL38">
        <f>P38*AK38*(Z38+AE38)</f>
        <v/>
      </c>
      <c r="AM38">
        <f>Q38*$AK38*(AA38+AF38)</f>
        <v/>
      </c>
      <c r="AN38">
        <f>R38*$AK38*(AB38+AG38)</f>
        <v/>
      </c>
      <c r="AO38">
        <f>S38*$AK38*(AC38+AH38)</f>
        <v/>
      </c>
      <c r="AP38">
        <f>T38*$AK38*(AD38+AI38)</f>
        <v/>
      </c>
      <c r="AQ38">
        <f>$P38*AE38*$AK38</f>
        <v/>
      </c>
      <c r="AR38">
        <f>$P38*AF38*$AK38</f>
        <v/>
      </c>
      <c r="AS38">
        <f>$P38*AG38*$AK38</f>
        <v/>
      </c>
      <c r="AT38">
        <f>$P38*AH38*$AK38</f>
        <v/>
      </c>
      <c r="AU38">
        <f>$P38*AI38*$AK38</f>
        <v/>
      </c>
      <c r="AV38">
        <f>$P38*Z38*$AK38</f>
        <v/>
      </c>
      <c r="AW38">
        <f>$P38*AA38*$AK38</f>
        <v/>
      </c>
      <c r="AX38">
        <f>$P38*AB38*$AK38</f>
        <v/>
      </c>
      <c r="AY38">
        <f>$P38*AC38*$AK38</f>
        <v/>
      </c>
      <c r="AZ38">
        <f>$P38*AD38*$AK38</f>
        <v/>
      </c>
    </row>
    <row customHeight="1" ht="15" r="39" s="46" spans="1:52">
      <c r="A39" t="n">
        <v>37</v>
      </c>
      <c r="B39" t="s">
        <v>269</v>
      </c>
      <c r="C39" t="s">
        <v>270</v>
      </c>
      <c r="D39" t="s">
        <v>248</v>
      </c>
      <c r="E39" t="s">
        <v>254</v>
      </c>
      <c r="F39" t="s">
        <v>21</v>
      </c>
      <c r="G39" t="n">
        <v>5.8</v>
      </c>
      <c r="H39" s="11" t="s">
        <v>166</v>
      </c>
      <c r="I39" t="s">
        <v>189</v>
      </c>
      <c r="J39" t="n">
        <v>0.5</v>
      </c>
      <c r="K39" t="s">
        <v>42</v>
      </c>
      <c r="O39" t="s">
        <v>235</v>
      </c>
      <c r="P39" s="27" t="n">
        <v>0</v>
      </c>
      <c r="Q39" s="30" t="n">
        <v>0</v>
      </c>
      <c r="R39" s="30" t="n">
        <v>0</v>
      </c>
      <c r="S39" s="30" t="n">
        <v>0</v>
      </c>
      <c r="T39" s="30" t="n">
        <v>0</v>
      </c>
      <c r="U39" s="30" t="n">
        <v>0</v>
      </c>
      <c r="V39" s="30" t="n">
        <v>0</v>
      </c>
      <c r="W39" s="30" t="n">
        <v>0</v>
      </c>
      <c r="X39">
        <f>IF(SUM(Q39:W39)=G39,"TRUE","FALSE")</f>
        <v/>
      </c>
      <c r="Y39" t="s">
        <v>168</v>
      </c>
      <c r="Z39" t="n">
        <v>0</v>
      </c>
      <c r="AA39" t="n">
        <v>0</v>
      </c>
      <c r="AB39" t="n">
        <v>0</v>
      </c>
      <c r="AC39" t="n">
        <v>0</v>
      </c>
      <c r="AD39" t="n">
        <v>0</v>
      </c>
      <c r="AE39" t="n">
        <v>0</v>
      </c>
      <c r="AF39" t="n">
        <v>0</v>
      </c>
      <c r="AG39" t="n">
        <v>1</v>
      </c>
      <c r="AH39" t="n">
        <v>0</v>
      </c>
      <c r="AI39" t="n">
        <v>0</v>
      </c>
      <c r="AJ39" s="23" t="n">
        <v>0.05</v>
      </c>
      <c r="AK39">
        <f>AJ39*0.01</f>
        <v/>
      </c>
      <c r="AL39">
        <f>P39*AK39*(Z39+AE39)</f>
        <v/>
      </c>
      <c r="AM39">
        <f>Q39*$AK39*(AA39+AF39)</f>
        <v/>
      </c>
      <c r="AN39">
        <f>R39*$AK39*(AB39+AG39)</f>
        <v/>
      </c>
      <c r="AO39">
        <f>S39*$AK39*(AC39+AH39)</f>
        <v/>
      </c>
      <c r="AP39">
        <f>T39*$AK39*(AD39+AI39)</f>
        <v/>
      </c>
      <c r="AQ39">
        <f>$P39*AE39*$AK39</f>
        <v/>
      </c>
      <c r="AR39">
        <f>$P39*AF39*$AK39</f>
        <v/>
      </c>
      <c r="AS39">
        <f>$P39*AG39*$AK39</f>
        <v/>
      </c>
      <c r="AT39">
        <f>$P39*AH39*$AK39</f>
        <v/>
      </c>
      <c r="AU39">
        <f>$P39*AI39*$AK39</f>
        <v/>
      </c>
      <c r="AV39">
        <f>$P39*Z39*$AK39</f>
        <v/>
      </c>
      <c r="AW39">
        <f>$P39*AA39*$AK39</f>
        <v/>
      </c>
      <c r="AX39">
        <f>$P39*AB39*$AK39</f>
        <v/>
      </c>
      <c r="AY39">
        <f>$P39*AC39*$AK39</f>
        <v/>
      </c>
      <c r="AZ39">
        <f>$P39*AD39*$AK39</f>
        <v/>
      </c>
    </row>
    <row customHeight="1" ht="15" r="40" s="46" spans="1:52">
      <c r="A40" t="n">
        <v>38</v>
      </c>
      <c r="B40" t="s">
        <v>271</v>
      </c>
      <c r="C40" t="s">
        <v>272</v>
      </c>
      <c r="D40" t="s">
        <v>273</v>
      </c>
      <c r="E40" t="s">
        <v>164</v>
      </c>
      <c r="F40" t="s">
        <v>274</v>
      </c>
      <c r="G40" t="n">
        <v>1000</v>
      </c>
      <c r="H40" s="11" t="s">
        <v>217</v>
      </c>
      <c r="I40" t="s">
        <v>275</v>
      </c>
      <c r="J40" t="n">
        <v>5</v>
      </c>
      <c r="K40" t="s">
        <v>54</v>
      </c>
      <c r="O40" t="s">
        <v>178</v>
      </c>
      <c r="P40" s="27" t="n">
        <v>1</v>
      </c>
      <c r="Q40" s="30" t="n">
        <v>0</v>
      </c>
      <c r="R40" s="30" t="n">
        <v>0</v>
      </c>
      <c r="S40" s="30" t="n">
        <v>0</v>
      </c>
      <c r="T40" s="30" t="n">
        <v>0</v>
      </c>
      <c r="U40" s="30" t="n">
        <v>0</v>
      </c>
      <c r="V40" s="30" t="n">
        <v>0</v>
      </c>
      <c r="W40" s="30" t="n">
        <v>0</v>
      </c>
      <c r="X40">
        <f>IF(SUM(Q40:W40)=G40,"TRUE","FALSE")</f>
        <v/>
      </c>
      <c r="Y40" t="s">
        <v>276</v>
      </c>
      <c r="Z40" t="n">
        <v>0</v>
      </c>
      <c r="AA40" t="n">
        <v>0</v>
      </c>
      <c r="AB40" t="n">
        <v>0</v>
      </c>
      <c r="AC40" t="n">
        <v>0</v>
      </c>
      <c r="AD40" t="n">
        <v>0</v>
      </c>
      <c r="AE40" t="n">
        <v>1</v>
      </c>
      <c r="AF40" t="n">
        <v>1</v>
      </c>
      <c r="AG40" t="n">
        <v>1</v>
      </c>
      <c r="AH40" t="n">
        <v>1</v>
      </c>
      <c r="AI40" t="n">
        <v>1</v>
      </c>
      <c r="AJ40" s="23" t="n">
        <v>0.1</v>
      </c>
      <c r="AK40">
        <f>AJ40*0.01</f>
        <v/>
      </c>
      <c r="AL40">
        <f>P40*AK40*(Z40+AE40)</f>
        <v/>
      </c>
      <c r="AM40">
        <f>Q40*$AK40*(AA40+AF40)</f>
        <v/>
      </c>
      <c r="AN40">
        <f>R40*$AK40*(AB40+AG40)</f>
        <v/>
      </c>
      <c r="AO40">
        <f>S40*$AK40*(AC40+AH40)</f>
        <v/>
      </c>
      <c r="AP40">
        <f>T40*$AK40*(AD40+AI40)</f>
        <v/>
      </c>
      <c r="AQ40">
        <f>$P40*AE40*$AK40</f>
        <v/>
      </c>
      <c r="AR40">
        <f>$P40*AF40*$AK40</f>
        <v/>
      </c>
      <c r="AS40">
        <f>$P40*AG40*$AK40</f>
        <v/>
      </c>
      <c r="AT40">
        <f>$P40*AH40*$AK40</f>
        <v/>
      </c>
      <c r="AU40">
        <f>$P40*AI40*$AK40</f>
        <v/>
      </c>
      <c r="AV40">
        <f>$P40*Z40*$AK40</f>
        <v/>
      </c>
      <c r="AW40">
        <f>$P40*AA40*$AK40</f>
        <v/>
      </c>
      <c r="AX40">
        <f>$P40*AB40*$AK40</f>
        <v/>
      </c>
      <c r="AY40">
        <f>$P40*AC40*$AK40</f>
        <v/>
      </c>
      <c r="AZ40">
        <f>$P40*AD40*$AK40</f>
        <v/>
      </c>
    </row>
    <row customHeight="1" ht="15" r="41" s="46" spans="1:52">
      <c r="G41" s="32">
        <f>SUM(G3:G40)</f>
        <v/>
      </c>
    </row>
    <row customHeight="1" ht="15" r="43" s="46" spans="1:52"/>
    <row customHeight="1" ht="15" r="44" s="46" spans="1:52"/>
    <row customHeight="1" ht="15" r="45" s="46" spans="1:52"/>
  </sheetData>
  <mergeCells count="5">
    <mergeCell ref="Z1:AD1"/>
    <mergeCell ref="AE1:AI1"/>
    <mergeCell ref="B1:B2"/>
    <mergeCell ref="D1:F1"/>
    <mergeCell ref="K2:N2"/>
  </mergeCells>
  <pageMargins bottom="0.75" footer="0.3" header="0.3" left="0.7" right="0.7" top="0.75"/>
  <pageSetup horizontalDpi="1200" orientation="portrait" paperSize="9" verticalDpi="1200"/>
  <legacyDrawing r:id="anysvml"/>
</worksheet>
</file>

<file path=xl/worksheets/sheet8.xml><?xml version="1.0" encoding="utf-8"?>
<worksheet xmlns="http://schemas.openxmlformats.org/spreadsheetml/2006/main">
  <sheetPr codeName="Sheet8" enableFormatConditionsCalculation="0">
    <tabColor rgb="FFFFFF00"/>
    <outlinePr summaryBelow="1" summaryRight="1"/>
    <pageSetUpPr/>
  </sheetPr>
  <dimension ref="A1:AB15"/>
  <sheetViews>
    <sheetView workbookViewId="0">
      <pane activePane="topRight" state="frozen" topLeftCell="B1" xSplit="1"/>
      <selection activeCell="R23" pane="topRight" sqref="R23"/>
    </sheetView>
  </sheetViews>
  <sheetFormatPr baseColWidth="10" defaultColWidth="9.1640625" defaultRowHeight="15" outlineLevelCol="0"/>
  <cols>
    <col customWidth="1" max="2" min="2" style="46" width="34.33203125"/>
    <col bestFit="1" customWidth="1" max="3" min="3" style="46" width="15.83203125"/>
    <col customWidth="1" max="7" min="4" style="46" width="15.83203125"/>
    <col bestFit="1" customWidth="1" max="8" min="8" style="46" width="13.33203125"/>
    <col customWidth="1" max="18" min="9" style="46" width="13.33203125"/>
    <col bestFit="1" customWidth="1" max="19" min="19" style="46" width="13.33203125"/>
    <col customWidth="1" max="23" min="20" style="46" width="13.33203125"/>
    <col customWidth="1" max="24" min="24" style="46" width="22.83203125"/>
    <col bestFit="1" customWidth="1" max="25" min="25" style="46" width="18.83203125"/>
    <col bestFit="1" customWidth="1" max="26" min="26" style="46" width="17.5"/>
    <col bestFit="1" customWidth="1" max="27" min="27" style="46" width="10.5"/>
  </cols>
  <sheetData>
    <row customHeight="1" ht="15" r="1" s="46" spans="1:28">
      <c r="A1" t="s">
        <v>113</v>
      </c>
      <c r="B1" s="13" t="s">
        <v>277</v>
      </c>
      <c r="C1" s="49" t="s">
        <v>278</v>
      </c>
      <c r="H1" s="49" t="s">
        <v>279</v>
      </c>
      <c r="O1" s="45" t="n"/>
      <c r="P1" s="45" t="n"/>
      <c r="Q1" s="45" t="n"/>
      <c r="R1" s="45" t="n"/>
      <c r="S1" s="50" t="s">
        <v>280</v>
      </c>
      <c r="T1" s="50" t="n"/>
      <c r="U1" s="50" t="n"/>
      <c r="V1" s="51" t="n"/>
      <c r="W1" s="51" t="n"/>
      <c r="X1" s="13" t="s">
        <v>63</v>
      </c>
    </row>
    <row customHeight="1" ht="15" r="2" s="46" spans="1:28">
      <c r="B2" s="13" t="s">
        <v>281</v>
      </c>
      <c r="X2" t="s">
        <v>282</v>
      </c>
      <c r="Y2" t="s">
        <v>283</v>
      </c>
      <c r="Z2" t="s">
        <v>284</v>
      </c>
      <c r="AA2" t="s">
        <v>285</v>
      </c>
      <c r="AB2" t="s">
        <v>286</v>
      </c>
    </row>
    <row customHeight="1" ht="15" r="3" s="46" spans="1:28">
      <c r="A3" t="s">
        <v>54</v>
      </c>
      <c r="B3" t="s">
        <v>287</v>
      </c>
      <c r="C3" t="s">
        <v>84</v>
      </c>
      <c r="D3" t="s">
        <v>81</v>
      </c>
      <c r="E3" t="s">
        <v>152</v>
      </c>
      <c r="H3" s="21" t="n">
        <v>2</v>
      </c>
      <c r="I3" t="n">
        <v>3</v>
      </c>
      <c r="J3" t="n">
        <v>9</v>
      </c>
      <c r="K3" t="n">
        <v>19</v>
      </c>
      <c r="L3" t="n">
        <v>22</v>
      </c>
      <c r="M3" s="21" t="n">
        <v>31</v>
      </c>
      <c r="N3" s="21" t="n">
        <v>33</v>
      </c>
      <c r="O3" t="n">
        <v>34</v>
      </c>
      <c r="P3" t="n">
        <v>38</v>
      </c>
      <c r="S3" t="s">
        <v>127</v>
      </c>
      <c r="T3" t="s">
        <v>128</v>
      </c>
      <c r="U3" t="s">
        <v>130</v>
      </c>
      <c r="X3" s="23" t="n"/>
      <c r="Y3" s="23" t="n"/>
      <c r="Z3">
        <f>'INPUT - Housing per plan '!P12+'INPUT - Housing per plan '!P13+'INPUT - Housing per plan '!P15</f>
        <v/>
      </c>
      <c r="AA3" s="32">
        <f>'INPUT - Infra Projects'!G4+'INPUT - Infra Projects'!G5+'INPUT - Infra Projects'!G11+'INPUT - Infra Projects'!G21+'INPUT - Infra Projects'!G24+'INPUT - Infra Projects'!G33+'INPUT - Infra Projects'!G35+'INPUT - Infra Projects'!G36+'INPUT - Infra Projects'!G40</f>
        <v/>
      </c>
      <c r="AB3" s="32">
        <f>Z3-AA3</f>
        <v/>
      </c>
    </row>
    <row customHeight="1" ht="15" r="4" s="46" spans="1:28">
      <c r="A4" t="s">
        <v>57</v>
      </c>
      <c r="B4" t="s">
        <v>288</v>
      </c>
      <c r="C4" t="s">
        <v>84</v>
      </c>
      <c r="D4" t="s">
        <v>152</v>
      </c>
      <c r="H4" t="n">
        <v>20</v>
      </c>
      <c r="I4" t="n">
        <v>21</v>
      </c>
      <c r="J4" t="n">
        <v>23</v>
      </c>
      <c r="K4" s="21" t="n">
        <v>24</v>
      </c>
      <c r="L4" t="n">
        <v>25</v>
      </c>
      <c r="M4" t="n">
        <v>26</v>
      </c>
      <c r="N4" s="21" t="n">
        <v>31</v>
      </c>
      <c r="O4" s="21" t="n">
        <v>33</v>
      </c>
      <c r="P4" t="n">
        <v>35</v>
      </c>
      <c r="S4" t="s">
        <v>129</v>
      </c>
      <c r="T4" t="s">
        <v>131</v>
      </c>
      <c r="U4" t="s">
        <v>132</v>
      </c>
      <c r="X4" s="23" t="n"/>
      <c r="Y4" s="23" t="n"/>
      <c r="Z4">
        <f>'INPUT - Housing per plan '!P14+'INPUT - Housing per plan '!P16+'INPUT - Housing per plan '!P17</f>
        <v/>
      </c>
      <c r="AA4" s="32">
        <f>'INPUT - Infra Projects'!G22+'INPUT - Infra Projects'!G23+'INPUT - Infra Projects'!G25+'INPUT - Infra Projects'!G26+'INPUT - Infra Projects'!G27+'INPUT - Infra Projects'!G28+'INPUT - Infra Projects'!G33+'INPUT - Infra Projects'!G35+'INPUT - Infra Projects'!G37</f>
        <v/>
      </c>
      <c r="AB4" s="32">
        <f>Z4-AA4</f>
        <v/>
      </c>
    </row>
    <row customHeight="1" ht="15" r="5" s="46" spans="1:28">
      <c r="A5" t="s">
        <v>44</v>
      </c>
      <c r="B5" t="s">
        <v>289</v>
      </c>
      <c r="C5" t="s">
        <v>22</v>
      </c>
      <c r="D5" t="s">
        <v>152</v>
      </c>
      <c r="H5" s="21" t="n">
        <v>1</v>
      </c>
      <c r="I5" s="21" t="n">
        <v>2</v>
      </c>
      <c r="J5" t="n">
        <v>4</v>
      </c>
      <c r="K5" t="n">
        <v>14</v>
      </c>
      <c r="L5" t="n">
        <v>16</v>
      </c>
      <c r="M5" t="n">
        <v>17</v>
      </c>
      <c r="N5" s="21" t="n">
        <v>24</v>
      </c>
      <c r="O5" t="n">
        <v>27</v>
      </c>
      <c r="P5" t="n">
        <v>30</v>
      </c>
      <c r="Q5" t="n">
        <v>32</v>
      </c>
      <c r="R5" s="21" t="n">
        <v>33</v>
      </c>
      <c r="S5" t="s">
        <v>119</v>
      </c>
      <c r="T5" t="s">
        <v>120</v>
      </c>
      <c r="U5" t="s">
        <v>121</v>
      </c>
      <c r="V5" t="s">
        <v>122</v>
      </c>
      <c r="W5" t="s">
        <v>123</v>
      </c>
      <c r="X5" s="23" t="n"/>
      <c r="Y5" s="23" t="n"/>
      <c r="Z5">
        <f>'INPUT - Housing per plan '!P4+'INPUT - Housing per plan '!P5+'INPUT - Housing per plan '!P6+'INPUT - Housing per plan '!P7+'INPUT - Housing per plan '!P8</f>
        <v/>
      </c>
      <c r="AA5" s="32">
        <f>'INPUT - Infra Projects'!G3+'INPUT - Infra Projects'!G4+'INPUT - Infra Projects'!G6+'INPUT - Infra Projects'!G16+'INPUT - Infra Projects'!G18+'INPUT - Infra Projects'!G19+'INPUT - Infra Projects'!G26+'INPUT - Infra Projects'!G29+'INPUT - Infra Projects'!G32+'INPUT - Infra Projects'!G34+'INPUT - Infra Projects'!G35</f>
        <v/>
      </c>
      <c r="AB5" s="32">
        <f>Z5-AA5</f>
        <v/>
      </c>
    </row>
    <row customHeight="1" ht="15" r="6" s="46" spans="1:28">
      <c r="A6" t="s">
        <v>42</v>
      </c>
      <c r="B6" t="s">
        <v>21</v>
      </c>
      <c r="C6" t="s">
        <v>21</v>
      </c>
      <c r="D6" t="s">
        <v>152</v>
      </c>
      <c r="H6" s="21" t="n">
        <v>1</v>
      </c>
      <c r="I6" t="n">
        <v>7</v>
      </c>
      <c r="J6" t="n">
        <v>8</v>
      </c>
      <c r="K6" t="n">
        <v>11</v>
      </c>
      <c r="L6" t="n">
        <v>12</v>
      </c>
      <c r="M6" t="n">
        <v>15</v>
      </c>
      <c r="N6" t="n">
        <v>28</v>
      </c>
      <c r="O6" t="n">
        <v>29</v>
      </c>
      <c r="P6" s="21" t="n">
        <v>33</v>
      </c>
      <c r="Q6" t="n">
        <v>36</v>
      </c>
      <c r="R6" t="n">
        <v>37</v>
      </c>
      <c r="S6" t="s">
        <v>118</v>
      </c>
      <c r="X6" s="23" t="n"/>
      <c r="Y6" s="3" t="n"/>
      <c r="Z6">
        <f>'INPUT - Housing per plan '!P3</f>
        <v/>
      </c>
      <c r="AA6" s="32">
        <f>'INPUT - Infra Projects'!G3+'INPUT - Infra Projects'!G9+'INPUT - Infra Projects'!G10+'INPUT - Infra Projects'!G13+'INPUT - Infra Projects'!G14+'INPUT - Infra Projects'!G17+'INPUT - Infra Projects'!G30+'INPUT - Infra Projects'!G31+'INPUT - Infra Projects'!G35+'INPUT - Infra Projects'!G38+'INPUT - Infra Projects'!G39</f>
        <v/>
      </c>
      <c r="AB6" s="32">
        <f>Z6-AA6</f>
        <v/>
      </c>
    </row>
    <row customHeight="1" ht="15" r="7" s="46" spans="1:28">
      <c r="A7" t="s">
        <v>50</v>
      </c>
      <c r="B7" t="s">
        <v>290</v>
      </c>
      <c r="C7" t="s">
        <v>20</v>
      </c>
      <c r="D7" t="s">
        <v>81</v>
      </c>
      <c r="E7" t="s">
        <v>22</v>
      </c>
      <c r="F7" t="s">
        <v>21</v>
      </c>
      <c r="G7" t="s">
        <v>152</v>
      </c>
      <c r="H7" t="n">
        <v>5</v>
      </c>
      <c r="I7" t="n">
        <v>6</v>
      </c>
      <c r="J7" t="n">
        <v>10</v>
      </c>
      <c r="K7" t="n">
        <v>13</v>
      </c>
      <c r="L7" t="n">
        <v>18</v>
      </c>
      <c r="S7" t="s">
        <v>124</v>
      </c>
      <c r="T7" t="s">
        <v>125</v>
      </c>
      <c r="U7" t="s">
        <v>126</v>
      </c>
      <c r="X7" s="23" t="n"/>
      <c r="Y7" s="23" t="n"/>
      <c r="Z7">
        <f>'INPUT - Housing per plan '!P9+'INPUT - Housing per plan '!P10+'INPUT - Housing per plan '!P11</f>
        <v/>
      </c>
      <c r="AA7" s="32">
        <f>'INPUT - Infra Projects'!G7+'INPUT - Infra Projects'!G8+'INPUT - Infra Projects'!G12+'INPUT - Infra Projects'!G15+'INPUT - Infra Projects'!G20</f>
        <v/>
      </c>
      <c r="AB7" s="32">
        <f>Z7-AA7</f>
        <v/>
      </c>
    </row>
    <row customHeight="1" ht="15" r="8" s="46" spans="1:28"/>
    <row customHeight="1" ht="15" r="9" s="46" spans="1:28">
      <c r="B9" s="13" t="s">
        <v>291</v>
      </c>
    </row>
    <row r="10" spans="1:28">
      <c r="A10" t="s">
        <v>178</v>
      </c>
      <c r="B10" s="51" t="s">
        <v>292</v>
      </c>
      <c r="C10" s="51" t="s">
        <v>152</v>
      </c>
      <c r="D10" s="52" t="s">
        <v>153</v>
      </c>
      <c r="E10" s="51" t="n"/>
      <c r="F10" s="51" t="n"/>
      <c r="G10" s="51" t="n"/>
      <c r="H10" t="n">
        <v>6</v>
      </c>
      <c r="I10" t="n">
        <v>7</v>
      </c>
      <c r="J10" t="n">
        <v>8</v>
      </c>
      <c r="K10" t="n">
        <v>9</v>
      </c>
      <c r="L10" t="n">
        <v>12</v>
      </c>
      <c r="M10" t="n">
        <v>16</v>
      </c>
      <c r="N10" t="n">
        <v>18</v>
      </c>
      <c r="O10" t="n">
        <v>19</v>
      </c>
      <c r="P10" t="n">
        <v>20</v>
      </c>
      <c r="Q10" t="n">
        <v>24</v>
      </c>
      <c r="R10" t="n">
        <v>25</v>
      </c>
    </row>
    <row r="11" spans="1:28">
      <c r="H11" t="n">
        <v>27</v>
      </c>
      <c r="I11" t="n">
        <v>28</v>
      </c>
      <c r="J11" t="n">
        <v>35</v>
      </c>
      <c r="K11" t="n">
        <v>3</v>
      </c>
    </row>
    <row customHeight="1" ht="15" r="12" s="46" spans="1:28">
      <c r="A12" t="s">
        <v>235</v>
      </c>
      <c r="B12" t="s">
        <v>293</v>
      </c>
      <c r="C12" t="s">
        <v>152</v>
      </c>
      <c r="D12" t="s">
        <v>153</v>
      </c>
      <c r="H12" t="n">
        <v>23</v>
      </c>
      <c r="I12" t="n">
        <v>29</v>
      </c>
      <c r="J12" t="n">
        <v>30</v>
      </c>
      <c r="K12" t="n">
        <v>31</v>
      </c>
      <c r="L12" t="n">
        <v>32</v>
      </c>
      <c r="M12" t="n">
        <v>33</v>
      </c>
      <c r="N12" t="n">
        <v>34</v>
      </c>
      <c r="O12" t="n">
        <v>36</v>
      </c>
      <c r="P12" t="n">
        <v>37</v>
      </c>
    </row>
    <row customHeight="1" ht="15" r="15" s="46" spans="1:28">
      <c r="B15" s="21" t="s">
        <v>294</v>
      </c>
    </row>
  </sheetData>
  <mergeCells count="8">
    <mergeCell ref="B10:B11"/>
    <mergeCell ref="H1:N1"/>
    <mergeCell ref="C1:G1"/>
    <mergeCell ref="C10:C11"/>
    <mergeCell ref="D10:D11"/>
    <mergeCell ref="E10:E11"/>
    <mergeCell ref="F10:F11"/>
    <mergeCell ref="G10:G11"/>
  </mergeCells>
  <pageMargins bottom="0.75" footer="0.3" header="0.3" left="0.7" right="0.7" top="0.75"/>
  <pageSetup horizontalDpi="1200" orientation="portrait" paperSize="9" verticalDpi="1200"/>
</worksheet>
</file>

<file path=xl/worksheets/sheet9.xml><?xml version="1.0" encoding="utf-8"?>
<worksheet xmlns="http://schemas.openxmlformats.org/spreadsheetml/2006/main">
  <sheetPr codeName="Sheet9" enableFormatConditionsCalculation="0">
    <tabColor theme="0"/>
    <outlinePr summaryBelow="1" summaryRight="1"/>
    <pageSetUpPr/>
  </sheetPr>
  <dimension ref="A1:E7"/>
  <sheetViews>
    <sheetView workbookViewId="0">
      <selection activeCell="C7" sqref="C7"/>
    </sheetView>
  </sheetViews>
  <sheetFormatPr baseColWidth="10" defaultColWidth="9.1640625" defaultRowHeight="15" outlineLevelCol="0"/>
  <cols>
    <col bestFit="1" customWidth="1" max="1" min="1" style="46" width="25"/>
    <col customWidth="1" max="2" min="2" style="46" width="25"/>
    <col bestFit="1" customWidth="1" max="3" min="3" style="46" width="18.33203125"/>
    <col bestFit="1" customWidth="1" max="4" min="4" style="46" width="15.1640625"/>
  </cols>
  <sheetData>
    <row r="1" spans="1:5">
      <c r="A1" s="13" t="s">
        <v>35</v>
      </c>
      <c r="B1" s="35" t="s">
        <v>295</v>
      </c>
      <c r="C1" s="13" t="s">
        <v>296</v>
      </c>
      <c r="D1" s="13" t="s">
        <v>297</v>
      </c>
      <c r="E1" s="13" t="s">
        <v>71</v>
      </c>
    </row>
    <row customFormat="1" r="2" s="23" spans="1:5">
      <c r="A2" s="23" t="s">
        <v>81</v>
      </c>
      <c r="C2" s="23">
        <f>SUM('INPUT - Infra Projects'!AQ3:AQ40)</f>
        <v/>
      </c>
      <c r="D2" s="23">
        <f>SUM('INPUT - Infra Projects'!AV3:AV40)</f>
        <v/>
      </c>
      <c r="E2" s="23">
        <f>SUM(C2:D2)</f>
        <v/>
      </c>
    </row>
    <row r="3" spans="1:5">
      <c r="A3" t="s">
        <v>20</v>
      </c>
      <c r="B3" s="23" t="n"/>
      <c r="C3">
        <f>SUM('INPUT - Infra Projects'!AR3:AR40)</f>
        <v/>
      </c>
      <c r="D3">
        <f>SUM('INPUT - Infra Projects'!AW3:AW40)</f>
        <v/>
      </c>
      <c r="E3">
        <f>SUM(C3:D3)</f>
        <v/>
      </c>
    </row>
    <row r="4" spans="1:5">
      <c r="A4" t="s">
        <v>21</v>
      </c>
      <c r="B4" s="23" t="n"/>
      <c r="C4">
        <f>SUM('INPUT - Infra Projects'!AS3:AS40)</f>
        <v/>
      </c>
      <c r="D4">
        <f>SUM('INPUT - Infra Projects'!AX3:AX40)</f>
        <v/>
      </c>
      <c r="E4">
        <f>SUM(C4:D4)</f>
        <v/>
      </c>
    </row>
    <row r="5" spans="1:5">
      <c r="A5" t="s">
        <v>22</v>
      </c>
      <c r="B5" s="23" t="n"/>
      <c r="C5">
        <f>SUM('INPUT - Infra Projects'!AT3:AT40)</f>
        <v/>
      </c>
      <c r="D5">
        <f>SUM('INPUT - Infra Projects'!AY3:AY40)</f>
        <v/>
      </c>
      <c r="E5">
        <f>SUM(C5:D5)</f>
        <v/>
      </c>
    </row>
    <row r="6" spans="1:5">
      <c r="A6" t="s">
        <v>23</v>
      </c>
      <c r="B6" s="23" t="n"/>
      <c r="C6">
        <f>SUM('INPUT - Infra Projects'!AU3:AU40)</f>
        <v/>
      </c>
      <c r="D6">
        <f>SUM('INPUT - Infra Projects'!AZ3:AZ40)</f>
        <v/>
      </c>
      <c r="E6">
        <f>SUM(C6:D6)</f>
        <v/>
      </c>
    </row>
    <row r="7" spans="1:5">
      <c r="A7" t="s">
        <v>298</v>
      </c>
      <c r="B7" s="23" t="n"/>
      <c r="C7">
        <f>SUM(C2:C6)/5</f>
        <v/>
      </c>
      <c r="D7">
        <f>SUM(D2:D6)/5</f>
        <v/>
      </c>
      <c r="E7">
        <f>SUM(E2:E6)/5</f>
        <v/>
      </c>
    </row>
  </sheetData>
  <pageMargins bottom="0.75" footer="0.3" header="0.3" left="0.7" right="0.7" top="0.75"/>
  <pageSetup orientation="portrait" paperSize="9"/>
</worksheet>
</file>

<file path=xl/worksheets/sheet10.xml><?xml version="1.0" encoding="utf-8"?>
<worksheet xmlns:r="http://schemas.openxmlformats.org/officeDocument/2006/relationships" xmlns="http://schemas.openxmlformats.org/spreadsheetml/2006/main">
  <sheetPr codeName="Sheet10" enableFormatConditionsCalculation="0">
    <tabColor theme="0"/>
    <outlinePr summaryBelow="1" summaryRight="1"/>
    <pageSetUpPr/>
  </sheetPr>
  <dimension ref="A1:E9"/>
  <sheetViews>
    <sheetView workbookViewId="0">
      <selection activeCell="E3" sqref="E3"/>
    </sheetView>
  </sheetViews>
  <sheetFormatPr baseColWidth="10" defaultColWidth="9.1640625" defaultRowHeight="15" outlineLevelCol="0"/>
  <cols>
    <col bestFit="1" customWidth="1" max="1" min="1" style="46" width="23.33203125"/>
    <col bestFit="1" customWidth="1" max="2" min="2" style="46" width="13.1640625"/>
    <col customWidth="1" max="4" min="3" style="46" width="13.1640625"/>
    <col bestFit="1" customWidth="1" max="5" min="5" style="46" width="14.6640625"/>
    <col bestFit="1" customWidth="1" max="6" min="6" style="46" width="12.1640625"/>
    <col bestFit="1" customWidth="1" max="8" min="7" style="46" width="10.5"/>
    <col bestFit="1" customWidth="1" max="9" min="9" style="46" width="11.83203125"/>
    <col customWidth="1" max="10" min="10" style="46" width="12"/>
    <col customWidth="1" max="13" min="13" style="46" width="12.6640625"/>
    <col customWidth="1" max="16" min="16" style="46" width="18.33203125"/>
  </cols>
  <sheetData>
    <row r="1" spans="1:5">
      <c r="A1" t="s">
        <v>299</v>
      </c>
      <c r="B1" t="s">
        <v>300</v>
      </c>
      <c r="C1" t="s">
        <v>301</v>
      </c>
      <c r="D1" t="s">
        <v>302</v>
      </c>
      <c r="E1" t="s">
        <v>303</v>
      </c>
    </row>
    <row r="2" spans="1:5">
      <c r="A2" s="23" t="s">
        <v>81</v>
      </c>
      <c r="B2" s="23" t="n"/>
      <c r="C2" s="23" t="n"/>
      <c r="D2" s="23" t="n"/>
      <c r="E2" s="20">
        <f>'Reserve Revenue (NOT USED)'!B4-'BASIS - Housing demand'!I2</f>
        <v/>
      </c>
    </row>
    <row r="3" spans="1:5">
      <c r="A3" t="s">
        <v>20</v>
      </c>
      <c r="B3">
        <f>SUM('INPUT - Housing per plan '!H9:H11)</f>
        <v/>
      </c>
      <c r="C3" s="20">
        <f>'BASIS - Housing demand'!I4</f>
        <v/>
      </c>
      <c r="D3" s="20">
        <f>B3-C3</f>
        <v/>
      </c>
      <c r="E3" s="20">
        <f>SUM('INPUT - Housing per plan '!J9:K11)-'BASIS - Housing demand'!I4</f>
        <v/>
      </c>
    </row>
    <row r="4" spans="1:5">
      <c r="A4" t="s">
        <v>21</v>
      </c>
      <c r="B4">
        <f>'INPUT - Housing per plan '!H3</f>
        <v/>
      </c>
      <c r="C4" s="20">
        <f>'BASIS - Housing demand'!I3</f>
        <v/>
      </c>
      <c r="D4" s="20">
        <f>B4-C4</f>
        <v/>
      </c>
      <c r="E4" s="20">
        <f>SUM('INPUT - Housing per plan '!J3:K3)-'BASIS - Housing demand'!I3</f>
        <v/>
      </c>
    </row>
    <row r="5" spans="1:5">
      <c r="A5" t="s">
        <v>107</v>
      </c>
      <c r="B5">
        <f>SUM('INPUT - Housing per plan '!H4:H8)</f>
        <v/>
      </c>
      <c r="C5" s="20">
        <f>'BASIS - Housing demand'!I5</f>
        <v/>
      </c>
      <c r="D5" s="20">
        <f>B5-C5</f>
        <v/>
      </c>
      <c r="E5" s="20">
        <f>SUM('INPUT - Housing per plan '!J4:K8)-'BASIS - Housing demand'!I5</f>
        <v/>
      </c>
    </row>
    <row r="6" spans="1:5">
      <c r="A6" t="s">
        <v>23</v>
      </c>
      <c r="B6">
        <f>SUM('INPUT - Housing per plan '!H12:H17)</f>
        <v/>
      </c>
      <c r="C6" s="20">
        <f>'BASIS - Housing demand'!I6</f>
        <v/>
      </c>
      <c r="D6" s="20">
        <f>B6-C6</f>
        <v/>
      </c>
      <c r="E6" s="20">
        <f>SUM('INPUT - Housing per plan '!J12:K17)-'BASIS - Housing demand'!I6</f>
        <v/>
      </c>
    </row>
    <row r="7" spans="1:5">
      <c r="A7" t="s">
        <v>304</v>
      </c>
      <c r="C7" s="20" t="n"/>
      <c r="D7" s="20" t="n"/>
      <c r="E7" s="20">
        <f>SUM('INPUT - Housing per plan '!J3:K17)-'BASIS - Housing demand'!I7</f>
        <v/>
      </c>
    </row>
    <row r="8" spans="1:5">
      <c r="A8" t="s">
        <v>305</v>
      </c>
      <c r="B8">
        <f>SUM(B3:B6)</f>
        <v/>
      </c>
      <c r="C8" s="20">
        <f>SUM(C3:C6)</f>
        <v/>
      </c>
      <c r="D8" s="20">
        <f>B8-C8</f>
        <v/>
      </c>
      <c r="E8" s="20">
        <f>SUM('INPUT - Housing per plan '!J3:K17)-'BASIS - Housing demand'!I8</f>
        <v/>
      </c>
    </row>
    <row r="9" spans="1:5">
      <c r="E9" s="32" t="n"/>
    </row>
  </sheetData>
  <pageMargins bottom="0.75" footer="0.3" header="0.3" left="0.7" right="0.7" top="0.75"/>
  <pageSetup orientation="portrait" paperSize="9"/>
  <legacyDrawing r:id="anysvml"/>
</worksheet>
</file>

<file path=xl/worksheets/sheet11.xml><?xml version="1.0" encoding="utf-8"?>
<worksheet xmlns="http://schemas.openxmlformats.org/spreadsheetml/2006/main">
  <sheetPr codeName="Sheet11" enableFormatConditionsCalculation="0">
    <tabColor theme="0"/>
    <outlinePr summaryBelow="1" summaryRight="1"/>
    <pageSetUpPr/>
  </sheetPr>
  <dimension ref="A1:E22"/>
  <sheetViews>
    <sheetView workbookViewId="0">
      <selection activeCell="C24" sqref="C24"/>
    </sheetView>
  </sheetViews>
  <sheetFormatPr baseColWidth="10" defaultColWidth="9.1640625" defaultRowHeight="15" outlineLevelCol="0"/>
  <cols>
    <col bestFit="1" customWidth="1" max="1" min="1" style="46" width="12"/>
    <col bestFit="1" customWidth="1" max="2" min="2" style="46" width="14.6640625"/>
    <col bestFit="1" customWidth="1" max="3" min="3" style="46" width="15.33203125"/>
    <col bestFit="1" customWidth="1" max="4" min="4" style="46" width="21.1640625"/>
    <col bestFit="1" customWidth="1" max="5" min="5" style="46" width="14.5"/>
  </cols>
  <sheetData>
    <row r="1" spans="1:5">
      <c r="A1" s="13" t="s">
        <v>306</v>
      </c>
      <c r="B1" s="13" t="s">
        <v>307</v>
      </c>
      <c r="C1" s="13" t="s">
        <v>308</v>
      </c>
      <c r="D1" s="13" t="s">
        <v>309</v>
      </c>
      <c r="E1" s="13" t="s">
        <v>286</v>
      </c>
    </row>
    <row customFormat="1" r="2" s="23" spans="1:5">
      <c r="A2" s="23" t="s">
        <v>81</v>
      </c>
      <c r="B2" s="23" t="s">
        <v>102</v>
      </c>
      <c r="C2" s="23" t="n">
        <v>0</v>
      </c>
      <c r="D2" s="3">
        <f>'Indicator 3 Finances'!B16</f>
        <v/>
      </c>
      <c r="E2" s="23">
        <f>C2-D2</f>
        <v/>
      </c>
    </row>
    <row r="3" spans="1:5">
      <c r="A3" t="s">
        <v>20</v>
      </c>
      <c r="B3" t="s">
        <v>102</v>
      </c>
      <c r="C3">
        <f>SUM('INPUT - Housing per plan '!P9:P11)</f>
        <v/>
      </c>
      <c r="D3" s="20">
        <f>'Indicator 3 Finances'!B17</f>
        <v/>
      </c>
      <c r="E3">
        <f>C3-D3</f>
        <v/>
      </c>
    </row>
    <row r="4" spans="1:5">
      <c r="A4" t="s">
        <v>21</v>
      </c>
      <c r="B4" t="s">
        <v>102</v>
      </c>
      <c r="C4">
        <f>'INPUT - Housing per plan '!P3</f>
        <v/>
      </c>
      <c r="D4" s="20">
        <f>'Indicator 3 Finances'!B18</f>
        <v/>
      </c>
      <c r="E4">
        <f>C4-D4</f>
        <v/>
      </c>
    </row>
    <row r="5" spans="1:5">
      <c r="A5" t="s">
        <v>22</v>
      </c>
      <c r="B5" t="s">
        <v>102</v>
      </c>
      <c r="C5">
        <f>SUM('INPUT - Housing per plan '!P4:P8)</f>
        <v/>
      </c>
      <c r="D5" s="20">
        <f>'Indicator 3 Finances'!B19</f>
        <v/>
      </c>
      <c r="E5">
        <f>C5-D5</f>
        <v/>
      </c>
    </row>
    <row r="6" spans="1:5">
      <c r="A6" t="s">
        <v>23</v>
      </c>
      <c r="B6" t="s">
        <v>102</v>
      </c>
      <c r="C6">
        <f>SUM('INPUT - Housing per plan '!P12:P17)</f>
        <v/>
      </c>
      <c r="D6" s="20">
        <f>'Indicator 3 Finances'!B20</f>
        <v/>
      </c>
      <c r="E6">
        <f>C6-D6</f>
        <v/>
      </c>
    </row>
    <row r="7" spans="1:5">
      <c r="A7" t="s">
        <v>152</v>
      </c>
      <c r="B7" s="23" t="n">
        <v>0</v>
      </c>
      <c r="C7" t="s">
        <v>102</v>
      </c>
      <c r="D7" s="20">
        <f>'Indicator 3 Finances'!B21</f>
        <v/>
      </c>
      <c r="E7" s="20">
        <f>B7-D7</f>
        <v/>
      </c>
    </row>
    <row r="8" spans="1:5">
      <c r="A8" t="s">
        <v>153</v>
      </c>
      <c r="B8" s="23" t="n">
        <v>0</v>
      </c>
      <c r="C8" t="s">
        <v>102</v>
      </c>
      <c r="D8" s="20">
        <f>'Indicator 3 Finances'!B22</f>
        <v/>
      </c>
      <c r="E8">
        <f>B8-D8</f>
        <v/>
      </c>
    </row>
    <row r="15" spans="1:5">
      <c r="A15" s="13" t="n"/>
      <c r="B15" t="s">
        <v>310</v>
      </c>
    </row>
    <row r="16" spans="1:5">
      <c r="A16" t="s">
        <v>81</v>
      </c>
      <c r="B16" s="32">
        <f>SUM('INPUT - Infra Projects'!Q3:Q40)</f>
        <v/>
      </c>
    </row>
    <row r="17" spans="1:5">
      <c r="A17" t="s">
        <v>21</v>
      </c>
      <c r="B17" s="32">
        <f>SUM('INPUT - Infra Projects'!R3:R40)</f>
        <v/>
      </c>
    </row>
    <row r="18" spans="1:5">
      <c r="A18" t="s">
        <v>20</v>
      </c>
      <c r="B18" s="32">
        <f>SUM('INPUT - Infra Projects'!S3:S40)</f>
        <v/>
      </c>
    </row>
    <row r="19" spans="1:5">
      <c r="A19" t="s">
        <v>107</v>
      </c>
      <c r="B19" s="32">
        <f>SUM('INPUT - Infra Projects'!T3:T40)</f>
        <v/>
      </c>
    </row>
    <row r="20" spans="1:5">
      <c r="A20" t="s">
        <v>23</v>
      </c>
      <c r="B20" s="32">
        <f>SUM('INPUT - Infra Projects'!U3:U40)</f>
        <v/>
      </c>
    </row>
    <row r="21" spans="1:5">
      <c r="A21" t="s">
        <v>152</v>
      </c>
      <c r="B21" s="32">
        <f>SUM('INPUT - Infra Projects'!V3:V40)</f>
        <v/>
      </c>
    </row>
    <row r="22" spans="1:5">
      <c r="A22" t="s">
        <v>153</v>
      </c>
      <c r="B22" s="32">
        <f>SUM('INPUT - Infra Projects'!W3:W40)</f>
        <v/>
      </c>
    </row>
  </sheetData>
  <pageMargins bottom="0.75" footer="0.3" header="0.3" left="0.7" right="0.7" top="0.75"/>
</worksheet>
</file>

<file path=xl/worksheets/sheet12.xml><?xml version="1.0" encoding="utf-8"?>
<worksheet xmlns:r="http://schemas.openxmlformats.org/officeDocument/2006/relationships" xmlns="http://schemas.openxmlformats.org/spreadsheetml/2006/main">
  <sheetPr codeName="Sheet12" enableFormatConditionsCalculation="0">
    <tabColor theme="0"/>
    <outlinePr summaryBelow="1" summaryRight="1"/>
    <pageSetUpPr/>
  </sheetPr>
  <dimension ref="A1:J8"/>
  <sheetViews>
    <sheetView workbookViewId="0">
      <selection activeCell="F7" sqref="F7"/>
    </sheetView>
  </sheetViews>
  <sheetFormatPr baseColWidth="10" defaultColWidth="9.1640625" defaultRowHeight="15" outlineLevelCol="0"/>
  <cols>
    <col bestFit="1" customWidth="1" max="1" min="1" style="46" width="25"/>
    <col bestFit="1" customWidth="1" max="2" min="2" style="46" width="13.1640625"/>
    <col bestFit="1" customWidth="1" max="3" min="3" style="46" width="11.6640625"/>
    <col bestFit="1" customWidth="1" max="4" min="4" style="46" width="12.83203125"/>
    <col bestFit="1" customWidth="1" max="5" min="5" style="46" width="16.6640625"/>
    <col bestFit="1" customWidth="1" max="6" min="6" style="46" width="11.6640625"/>
    <col bestFit="1" customWidth="1" max="7" min="7" style="46" width="12.83203125"/>
    <col bestFit="1" customWidth="1" max="8" min="8" style="46" width="18.1640625"/>
    <col bestFit="1" customWidth="1" max="9" min="9" style="46" width="11.6640625"/>
    <col bestFit="1" customWidth="1" max="10" min="10" style="46" width="12.83203125"/>
  </cols>
  <sheetData>
    <row r="1" spans="1:10">
      <c r="B1" s="13" t="s">
        <v>311</v>
      </c>
      <c r="E1" s="13" t="s">
        <v>312</v>
      </c>
      <c r="H1" s="13" t="s">
        <v>313</v>
      </c>
    </row>
    <row r="2" spans="1:10">
      <c r="A2" s="13" t="s">
        <v>35</v>
      </c>
      <c r="B2" t="s">
        <v>314</v>
      </c>
      <c r="C2" t="s">
        <v>315</v>
      </c>
      <c r="D2" t="s">
        <v>316</v>
      </c>
      <c r="E2" t="s">
        <v>314</v>
      </c>
      <c r="F2" t="s">
        <v>315</v>
      </c>
      <c r="G2" t="s">
        <v>316</v>
      </c>
      <c r="H2" t="s">
        <v>314</v>
      </c>
      <c r="I2" t="s">
        <v>315</v>
      </c>
      <c r="J2" t="s">
        <v>316</v>
      </c>
    </row>
    <row customFormat="1" r="3" s="23" spans="1:10">
      <c r="A3" s="23" t="s">
        <v>81</v>
      </c>
    </row>
    <row r="4" spans="1:10">
      <c r="A4" t="s">
        <v>20</v>
      </c>
    </row>
    <row r="5" spans="1:10">
      <c r="A5" t="s">
        <v>21</v>
      </c>
    </row>
    <row r="6" spans="1:10">
      <c r="A6" t="s">
        <v>22</v>
      </c>
    </row>
    <row r="7" spans="1:10">
      <c r="A7" t="s">
        <v>23</v>
      </c>
    </row>
    <row r="8" spans="1:10">
      <c r="A8" t="s">
        <v>298</v>
      </c>
    </row>
  </sheetData>
  <pageMargins bottom="0.75" footer="0.3" header="0.3" left="0.7" right="0.7" top="0.75"/>
  <legacyDrawing r:id="anysvml"/>
</worksheet>
</file>

<file path=xl/worksheets/sheet13.xml><?xml version="1.0" encoding="utf-8"?>
<worksheet xmlns="http://schemas.openxmlformats.org/spreadsheetml/2006/main">
  <sheetPr codeName="Sheet13" enableFormatConditionsCalculation="0">
    <tabColor theme="0"/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9.1640625" defaultRowHeight="15"/>
  <sheetData/>
  <pageMargins bottom="0.75" footer="0.3" header="0.3" left="0.7" right="0.7" top="0.75"/>
</worksheet>
</file>

<file path=xl/worksheets/sheet14.xml><?xml version="1.0" encoding="utf-8"?>
<worksheet xmlns:r="http://schemas.openxmlformats.org/officeDocument/2006/relationships" xmlns="http://schemas.openxmlformats.org/spreadsheetml/2006/main">
  <sheetPr codeName="Sheet14" enableFormatConditionsCalculation="0">
    <tabColor theme="1"/>
    <outlinePr summaryBelow="1" summaryRight="1"/>
    <pageSetUpPr/>
  </sheetPr>
  <dimension ref="A1:N14"/>
  <sheetViews>
    <sheetView workbookViewId="0">
      <selection activeCell="D34" sqref="D34"/>
    </sheetView>
  </sheetViews>
  <sheetFormatPr baseColWidth="10" defaultColWidth="9.1640625" defaultRowHeight="15" outlineLevelCol="0"/>
  <cols>
    <col bestFit="1" customWidth="1" max="1" min="1" style="46" width="13.6640625"/>
    <col bestFit="1" customWidth="1" max="3" min="2" style="46" width="12.1640625"/>
    <col bestFit="1" customWidth="1" max="5" min="4" style="46" width="10.5"/>
    <col bestFit="1" customWidth="1" max="6" min="6" style="46" width="11.83203125"/>
    <col customWidth="1" max="7" min="7" style="46" width="12"/>
    <col customWidth="1" max="10" min="10" style="46" width="12.6640625"/>
    <col customWidth="1" max="13" min="13" style="46" width="18.33203125"/>
  </cols>
  <sheetData>
    <row customHeight="1" ht="15" r="1" s="46" spans="1:14">
      <c r="A1" t="s">
        <v>299</v>
      </c>
      <c r="B1" s="23" t="s">
        <v>81</v>
      </c>
      <c r="C1" t="s">
        <v>20</v>
      </c>
      <c r="D1" t="s">
        <v>21</v>
      </c>
      <c r="E1" t="s">
        <v>107</v>
      </c>
      <c r="F1" t="s">
        <v>23</v>
      </c>
      <c r="G1" t="s">
        <v>39</v>
      </c>
      <c r="I1" t="s">
        <v>105</v>
      </c>
      <c r="J1" t="s">
        <v>317</v>
      </c>
      <c r="K1" t="s">
        <v>318</v>
      </c>
      <c r="L1" t="s">
        <v>319</v>
      </c>
      <c r="M1" t="s">
        <v>320</v>
      </c>
      <c r="N1" t="s">
        <v>321</v>
      </c>
    </row>
    <row customHeight="1" ht="15" r="2" s="46" spans="1:14">
      <c r="A2" t="s">
        <v>322</v>
      </c>
      <c r="B2" s="23">
        <f>'BASIS - Plans per municipality'!C3</f>
        <v/>
      </c>
      <c r="C2">
        <f>'BASIS - Plans per municipality'!C6</f>
        <v/>
      </c>
      <c r="D2">
        <f>'BASIS - Plans per municipality'!C4</f>
        <v/>
      </c>
      <c r="E2">
        <f>'BASIS - Plans per municipality'!C5</f>
        <v/>
      </c>
      <c r="F2">
        <f>'BASIS - Plans per municipality'!C7</f>
        <v/>
      </c>
      <c r="G2">
        <f>SUM(C2:F2)</f>
        <v/>
      </c>
      <c r="I2" s="20">
        <f>G3</f>
        <v/>
      </c>
      <c r="J2" t="n">
        <v>0.2</v>
      </c>
      <c r="K2" t="n">
        <v>0.05</v>
      </c>
      <c r="L2" t="n">
        <v>0.055</v>
      </c>
      <c r="M2">
        <f>G4/G3</f>
        <v/>
      </c>
      <c r="N2" t="n">
        <v>0.2</v>
      </c>
    </row>
    <row customHeight="1" ht="15.75" r="3" s="46" spans="1:14" thickBot="1">
      <c r="A3" t="s">
        <v>105</v>
      </c>
      <c r="B3" s="23">
        <f>'BASIS - Housing demand'!G2-'BASIS - Housing demand'!B2</f>
        <v/>
      </c>
      <c r="C3">
        <f>'BASIS - Housing demand'!G4-'BASIS - Housing demand'!B4</f>
        <v/>
      </c>
      <c r="D3">
        <f>'BASIS - Housing demand'!G3-'BASIS - Housing demand'!B3</f>
        <v/>
      </c>
      <c r="E3">
        <f>'BASIS - Housing demand'!G5-'BASIS - Housing demand'!B5</f>
        <v/>
      </c>
      <c r="F3">
        <f>'BASIS - Housing demand'!G6-'BASIS - Housing demand'!B6</f>
        <v/>
      </c>
      <c r="G3">
        <f>SUM((C3+D3+E3+F3))</f>
        <v/>
      </c>
      <c r="I3" s="20" t="n"/>
    </row>
    <row customHeight="1" ht="15.75" r="4" s="46" spans="1:14" thickBot="1">
      <c r="A4" s="5" t="s">
        <v>323</v>
      </c>
      <c r="B4" s="17" t="n">
        <v>500</v>
      </c>
      <c r="C4" s="18" t="n">
        <v>2500</v>
      </c>
      <c r="D4" s="18" t="n">
        <v>4000</v>
      </c>
      <c r="E4" s="18" t="n">
        <v>5000</v>
      </c>
      <c r="F4" s="18" t="n">
        <v>25000</v>
      </c>
      <c r="G4" s="6">
        <f>SUM(C4:F4)</f>
        <v/>
      </c>
      <c r="H4" s="20" t="n"/>
    </row>
    <row customHeight="1" ht="15" r="5" s="46" spans="1:14">
      <c r="A5" t="s">
        <v>324</v>
      </c>
      <c r="B5" s="3" t="n">
        <v>400</v>
      </c>
      <c r="C5" s="20" t="n">
        <v>200</v>
      </c>
      <c r="D5" s="20" t="n">
        <v>150</v>
      </c>
      <c r="E5" s="20" t="n">
        <v>250</v>
      </c>
      <c r="F5" s="20" t="n">
        <v>300</v>
      </c>
      <c r="G5" s="20" t="n"/>
      <c r="H5" s="20" t="n"/>
    </row>
    <row customHeight="1" ht="15.75" r="6" s="46" spans="1:14" thickBot="1">
      <c r="A6" t="s">
        <v>325</v>
      </c>
      <c r="B6" s="4">
        <f>$L$2*B5</f>
        <v/>
      </c>
      <c r="C6" s="32">
        <f>$L$2*C5</f>
        <v/>
      </c>
      <c r="D6" s="32">
        <f>$L$2*D5</f>
        <v/>
      </c>
      <c r="E6" s="32">
        <f>$L$2*E5</f>
        <v/>
      </c>
      <c r="F6" s="32">
        <f>$L$2*F5</f>
        <v/>
      </c>
      <c r="G6" s="20" t="n"/>
      <c r="H6" s="20" t="n"/>
    </row>
    <row customHeight="1" ht="15.75" r="7" s="46" spans="1:14" thickBot="1">
      <c r="A7" s="5" t="s">
        <v>326</v>
      </c>
      <c r="B7" s="7">
        <f>IF($G$4&gt;$I$2, B4*(B6-(($G$4-$I$2)*$J$2)), IF($G$4&lt;$I$2, (B4*(B6-(($G$4-$I$2)*$K$2))), B4*B6))</f>
        <v/>
      </c>
      <c r="C7" s="9">
        <f>IF($G$4&gt;$I$2, C4*(C6-(($G$4-$I$2)*$J$2)), IF($G$4&lt;$I$2, (C4*(C6-(($G$4-$I$2)*$K$2))), C4*C6))</f>
        <v/>
      </c>
      <c r="D7" s="9">
        <f>IF($G$4&gt;$I$2, D4*(D6-(($G$4-$I$2)*$J$2)), IF($G$4&lt;$I$2, (D4*(D6-(($G$4-$I$2)*$K$2))), D4*D6))</f>
        <v/>
      </c>
      <c r="E7" s="9">
        <f>IF($G$4&gt;$I$2, E4*(E6-(($G$4-$I$2)*$J$2)), IF($G$4&lt;$I$2, (E4*(E6-(($G$4-$I$2)*$K$2))), E4*E6))</f>
        <v/>
      </c>
      <c r="F7" s="9">
        <f>IF($G$4&gt;$I$2, F4*(F6-(($G$4-$I$2)*$J$2)), IF($G$4&lt;$I$2, (F4*(F6-(($G$4-$I$2)*$K$2))), F4*F6))</f>
        <v/>
      </c>
      <c r="G7" s="8">
        <f>SUM(C7:F7)</f>
        <v/>
      </c>
      <c r="H7" s="2" t="n"/>
    </row>
    <row customHeight="1" ht="15" r="8" s="46" spans="1:14">
      <c r="A8" t="s">
        <v>303</v>
      </c>
      <c r="B8" s="20">
        <f>B4-B3</f>
        <v/>
      </c>
      <c r="C8" s="20">
        <f>C4-C3</f>
        <v/>
      </c>
      <c r="D8" s="20">
        <f>D4-D3</f>
        <v/>
      </c>
      <c r="E8" s="20">
        <f>E4-E3</f>
        <v/>
      </c>
      <c r="F8" s="20">
        <f>F4-F3</f>
        <v/>
      </c>
      <c r="G8" s="20">
        <f>G4-G3</f>
        <v/>
      </c>
    </row>
    <row customHeight="1" ht="15" r="10" s="46" spans="1:14">
      <c r="B10" s="32" t="n"/>
    </row>
    <row customHeight="1" ht="15" r="11" s="46" spans="1:14">
      <c r="B11" s="32" t="n"/>
    </row>
    <row customHeight="1" ht="15" r="12" s="46" spans="1:14">
      <c r="B12" s="32" t="n"/>
    </row>
    <row customHeight="1" ht="15" r="13" s="46" spans="1:14">
      <c r="B13" s="32" t="n"/>
    </row>
    <row customHeight="1" ht="15" r="14" s="46" spans="1:14">
      <c r="B14" s="32" t="n"/>
    </row>
  </sheetData>
  <pageMargins bottom="0.75" footer="0.3" header="0.3" left="0.7" right="0.7" top="0.75"/>
  <pageSetup orientation="portrait" paperSize="9"/>
  <legacyDrawing r:id="anysvml"/>
</worksheet>
</file>

<file path=xl/worksheets/sheet15.xml><?xml version="1.0" encoding="utf-8"?>
<worksheet xmlns:r="http://schemas.openxmlformats.org/officeDocument/2006/relationships" xmlns="http://schemas.openxmlformats.org/spreadsheetml/2006/main">
  <sheetPr codeName="Sheet15" enableFormatConditionsCalculation="0">
    <tabColor theme="1"/>
    <outlinePr summaryBelow="1" summaryRight="1"/>
    <pageSetUpPr/>
  </sheetPr>
  <dimension ref="A1:Y36"/>
  <sheetViews>
    <sheetView topLeftCell="F1" workbookViewId="0">
      <selection activeCell="N1" sqref="N1:P1048576"/>
    </sheetView>
  </sheetViews>
  <sheetFormatPr baseColWidth="10" defaultColWidth="9.1640625" defaultRowHeight="15" outlineLevelCol="0"/>
  <cols>
    <col bestFit="1" customWidth="1" max="1" min="1" style="46" width="15.83203125"/>
    <col customWidth="1" max="2" min="2" style="46" width="19.1640625"/>
    <col bestFit="1" customWidth="1" max="3" min="3" style="46" width="17.83203125"/>
    <col customWidth="1" max="4" min="4" style="46" width="19.6640625"/>
    <col bestFit="1" customWidth="1" max="5" min="5" style="46" width="12"/>
    <col bestFit="1" customWidth="1" max="6" min="6" style="46" width="16.33203125"/>
    <col bestFit="1" customWidth="1" max="7" min="7" style="46" width="18"/>
    <col customWidth="1" max="8" min="8" style="46" width="18.33203125"/>
    <col customWidth="1" max="9" min="9" style="46" width="16.33203125"/>
    <col customWidth="1" max="16" min="14" style="46" width="16.33203125"/>
    <col bestFit="1" customWidth="1" max="17" min="17" style="46" width="16.1640625"/>
    <col bestFit="1" customWidth="1" max="18" min="18" style="46" width="15.83203125"/>
    <col customWidth="1" max="25" min="20" style="46" width="16.33203125"/>
  </cols>
  <sheetData>
    <row r="1" spans="1:25">
      <c r="B1" s="13" t="n"/>
      <c r="F1" t="s">
        <v>327</v>
      </c>
      <c r="J1" t="s">
        <v>30</v>
      </c>
      <c r="K1" t="s">
        <v>31</v>
      </c>
      <c r="L1" t="s">
        <v>32</v>
      </c>
      <c r="M1" t="s">
        <v>33</v>
      </c>
      <c r="N1" s="36" t="s">
        <v>111</v>
      </c>
      <c r="O1" s="36" t="n"/>
      <c r="Q1" t="s">
        <v>3</v>
      </c>
      <c r="T1" t="s">
        <v>92</v>
      </c>
      <c r="W1" t="s">
        <v>93</v>
      </c>
    </row>
    <row r="2" spans="1:25">
      <c r="A2" t="s">
        <v>113</v>
      </c>
      <c r="B2" t="s">
        <v>34</v>
      </c>
      <c r="C2" t="s">
        <v>35</v>
      </c>
      <c r="D2" t="s">
        <v>36</v>
      </c>
      <c r="E2" t="s">
        <v>9</v>
      </c>
      <c r="F2" s="23" t="s">
        <v>328</v>
      </c>
      <c r="G2" s="23" t="s">
        <v>329</v>
      </c>
      <c r="H2" t="s">
        <v>37</v>
      </c>
      <c r="I2" t="s">
        <v>38</v>
      </c>
      <c r="J2" t="s">
        <v>39</v>
      </c>
      <c r="K2" t="s">
        <v>39</v>
      </c>
      <c r="L2" t="s">
        <v>39</v>
      </c>
      <c r="M2" t="s">
        <v>40</v>
      </c>
      <c r="N2" s="36" t="s">
        <v>116</v>
      </c>
      <c r="O2" s="36" t="s">
        <v>28</v>
      </c>
      <c r="P2" t="s">
        <v>117</v>
      </c>
      <c r="Q2" t="s">
        <v>116</v>
      </c>
      <c r="R2" t="s">
        <v>28</v>
      </c>
      <c r="S2" t="s">
        <v>39</v>
      </c>
      <c r="T2" t="s">
        <v>98</v>
      </c>
      <c r="U2" t="s">
        <v>99</v>
      </c>
      <c r="V2" t="s">
        <v>94</v>
      </c>
      <c r="W2" t="s">
        <v>100</v>
      </c>
      <c r="X2" t="s">
        <v>101</v>
      </c>
      <c r="Y2" t="s">
        <v>94</v>
      </c>
    </row>
    <row r="3" spans="1:25">
      <c r="A3" t="s">
        <v>118</v>
      </c>
      <c r="B3" t="s">
        <v>41</v>
      </c>
      <c r="C3" t="s">
        <v>21</v>
      </c>
      <c r="D3" t="s">
        <v>42</v>
      </c>
      <c r="E3" t="n">
        <v>1</v>
      </c>
      <c r="F3" s="23" t="n"/>
      <c r="G3" s="23" t="n"/>
      <c r="H3" t="n">
        <v>1400</v>
      </c>
      <c r="I3" s="20">
        <f>H3*1.25</f>
        <v/>
      </c>
      <c r="J3" t="n">
        <v>300</v>
      </c>
      <c r="K3" t="n">
        <v>620</v>
      </c>
      <c r="L3" t="n">
        <v>480</v>
      </c>
      <c r="M3" t="n">
        <v>0</v>
      </c>
      <c r="N3" s="37" t="n">
        <v>0</v>
      </c>
      <c r="O3" s="37" t="n">
        <v>0</v>
      </c>
      <c r="P3">
        <f>IF(N3+O3&lt;I3+1,"TRUE","FALSE")</f>
        <v/>
      </c>
      <c r="Q3">
        <f>IF(E3=1,N3*(E27-D27),N3*(G27-F27))</f>
        <v/>
      </c>
      <c r="R3">
        <f>IF($E3=1,$O3*($H27-$D27),$O3*($I27-$F27))</f>
        <v/>
      </c>
      <c r="S3">
        <f>Q3+R3</f>
        <v/>
      </c>
      <c r="T3" t="n">
        <v>0</v>
      </c>
      <c r="U3" t="n">
        <v>0</v>
      </c>
      <c r="V3" t="n">
        <v>1400</v>
      </c>
      <c r="W3" t="n">
        <v>1225</v>
      </c>
      <c r="X3" t="n">
        <v>175</v>
      </c>
      <c r="Y3" t="n">
        <v>0</v>
      </c>
    </row>
    <row r="4" spans="1:25">
      <c r="A4" t="s">
        <v>119</v>
      </c>
      <c r="B4" t="s">
        <v>43</v>
      </c>
      <c r="C4" t="s">
        <v>22</v>
      </c>
      <c r="D4" t="s">
        <v>44</v>
      </c>
      <c r="E4" t="n">
        <v>0</v>
      </c>
      <c r="F4" s="23" t="n"/>
      <c r="G4" s="23" t="n"/>
      <c r="H4" t="n">
        <v>1200</v>
      </c>
      <c r="I4" s="20">
        <f>H4*1.25</f>
        <v/>
      </c>
      <c r="J4" t="n">
        <v>0</v>
      </c>
      <c r="K4" t="n">
        <v>100</v>
      </c>
      <c r="L4" t="n">
        <v>1100</v>
      </c>
      <c r="M4" t="n">
        <v>0</v>
      </c>
      <c r="N4" s="37" t="n">
        <v>0</v>
      </c>
      <c r="O4" s="37" t="n">
        <v>0</v>
      </c>
      <c r="P4">
        <f>IF(N4+O4&lt;I4+1,"TRUE","FALSE")</f>
        <v/>
      </c>
      <c r="Q4">
        <f>IF(E4=1,N4*(E28-D28),N4*(G28-F28))</f>
        <v/>
      </c>
      <c r="R4">
        <f>IF($E4=1,$O4*($H28-$D28),$O4*($I28-$F28))</f>
        <v/>
      </c>
      <c r="S4">
        <f>Q4+R4</f>
        <v/>
      </c>
      <c r="T4" t="n">
        <v>0</v>
      </c>
      <c r="U4" t="n">
        <v>300</v>
      </c>
      <c r="V4" t="n">
        <v>900</v>
      </c>
      <c r="W4" t="n">
        <v>0</v>
      </c>
      <c r="X4" t="n">
        <v>0</v>
      </c>
      <c r="Y4" t="n">
        <v>1200</v>
      </c>
    </row>
    <row r="5" spans="1:25">
      <c r="A5" t="s">
        <v>120</v>
      </c>
      <c r="B5" t="s">
        <v>45</v>
      </c>
      <c r="C5" t="s">
        <v>22</v>
      </c>
      <c r="D5" t="s">
        <v>44</v>
      </c>
      <c r="E5" t="n">
        <v>0</v>
      </c>
      <c r="F5" s="23" t="n"/>
      <c r="G5" s="23" t="n"/>
      <c r="H5" t="n">
        <v>1200</v>
      </c>
      <c r="I5" s="20">
        <f>H5*1.25</f>
        <v/>
      </c>
      <c r="J5" t="n">
        <v>0</v>
      </c>
      <c r="K5" t="n">
        <v>0</v>
      </c>
      <c r="L5" t="n">
        <v>1200</v>
      </c>
      <c r="M5" t="n">
        <v>0</v>
      </c>
      <c r="N5" s="37" t="n">
        <v>0</v>
      </c>
      <c r="O5" s="37" t="n">
        <v>0</v>
      </c>
      <c r="P5">
        <f>IF(N5+O5&lt;I5+1,"TRUE","FALSE")</f>
        <v/>
      </c>
      <c r="Q5">
        <f>IF(E5=1,N5*(E28-D28),N5*(G28-F28))</f>
        <v/>
      </c>
      <c r="R5">
        <f>IF($E5=1,$O5*($H28-$D28),$O5*($I28-$F28))</f>
        <v/>
      </c>
      <c r="S5">
        <f>Q5+R5</f>
        <v/>
      </c>
      <c r="T5" t="n">
        <v>0</v>
      </c>
      <c r="U5" t="n">
        <v>0</v>
      </c>
      <c r="V5" t="n">
        <v>1200</v>
      </c>
      <c r="W5" t="n">
        <v>0</v>
      </c>
      <c r="X5" t="n">
        <v>0</v>
      </c>
      <c r="Y5" t="n">
        <v>1200</v>
      </c>
    </row>
    <row r="6" spans="1:25">
      <c r="A6" t="s">
        <v>121</v>
      </c>
      <c r="B6" t="s">
        <v>46</v>
      </c>
      <c r="C6" t="s">
        <v>22</v>
      </c>
      <c r="D6" t="s">
        <v>44</v>
      </c>
      <c r="E6" t="n">
        <v>0</v>
      </c>
      <c r="F6" s="23" t="n"/>
      <c r="G6" s="23" t="n"/>
      <c r="H6" t="n">
        <v>690</v>
      </c>
      <c r="I6" s="20">
        <f>H6*1.25</f>
        <v/>
      </c>
      <c r="J6" t="n">
        <v>240</v>
      </c>
      <c r="K6" t="n">
        <v>450</v>
      </c>
      <c r="L6" t="n">
        <v>0</v>
      </c>
      <c r="M6" t="n">
        <v>0</v>
      </c>
      <c r="N6" s="37" t="n">
        <v>0</v>
      </c>
      <c r="O6" s="37" t="n">
        <v>0</v>
      </c>
      <c r="P6">
        <f>IF(N6+O6&lt;I6+1,"TRUE","FALSE")</f>
        <v/>
      </c>
      <c r="Q6">
        <f>IF(E6=1,N6*(E28-D28),N6*(G28-F28))</f>
        <v/>
      </c>
      <c r="R6">
        <f>IF($E6=1,$O6*($H28-$D28),$O6*($I28-$F28))</f>
        <v/>
      </c>
      <c r="S6">
        <f>Q6+R6</f>
        <v/>
      </c>
      <c r="T6" t="n">
        <v>515</v>
      </c>
      <c r="U6" t="n">
        <v>175</v>
      </c>
      <c r="V6" t="n">
        <v>0</v>
      </c>
      <c r="W6" t="n">
        <v>690</v>
      </c>
      <c r="X6" t="n">
        <v>0</v>
      </c>
      <c r="Y6" t="n">
        <v>0</v>
      </c>
    </row>
    <row r="7" spans="1:25">
      <c r="A7" t="s">
        <v>122</v>
      </c>
      <c r="B7" t="s">
        <v>47</v>
      </c>
      <c r="C7" t="s">
        <v>22</v>
      </c>
      <c r="D7" t="s">
        <v>44</v>
      </c>
      <c r="E7" t="n">
        <v>1</v>
      </c>
      <c r="F7" s="23" t="n"/>
      <c r="G7" s="23" t="n"/>
      <c r="H7" t="n">
        <v>300</v>
      </c>
      <c r="I7" s="20">
        <f>H7*1.25</f>
        <v/>
      </c>
      <c r="J7" t="n">
        <v>0</v>
      </c>
      <c r="K7" t="n">
        <v>300</v>
      </c>
      <c r="L7" t="n">
        <v>0</v>
      </c>
      <c r="M7" t="n">
        <v>0</v>
      </c>
      <c r="N7" s="37" t="n">
        <v>0</v>
      </c>
      <c r="O7" s="37" t="n">
        <v>0</v>
      </c>
      <c r="P7">
        <f>IF(N7+O7&lt;I7+1,"TRUE","FALSE")</f>
        <v/>
      </c>
      <c r="Q7">
        <f>IF(E7=1,N7*(E28-D28),N7*(G28-F28))</f>
        <v/>
      </c>
      <c r="R7">
        <f>IF($E7=1,$O7*($H28-$D28),$O7*($I28-$F28))</f>
        <v/>
      </c>
      <c r="S7">
        <f>Q7+R7</f>
        <v/>
      </c>
      <c r="T7" t="n">
        <v>260</v>
      </c>
      <c r="U7" t="n">
        <v>40</v>
      </c>
      <c r="V7" t="n">
        <v>0</v>
      </c>
      <c r="W7" t="n">
        <v>260</v>
      </c>
      <c r="X7" t="n">
        <v>40</v>
      </c>
      <c r="Y7" t="n">
        <v>0</v>
      </c>
    </row>
    <row r="8" spans="1:25">
      <c r="A8" t="s">
        <v>123</v>
      </c>
      <c r="B8" t="s">
        <v>48</v>
      </c>
      <c r="C8" t="s">
        <v>22</v>
      </c>
      <c r="D8" t="s">
        <v>44</v>
      </c>
      <c r="E8" t="n">
        <v>0</v>
      </c>
      <c r="F8" s="23" t="n"/>
      <c r="G8" s="23" t="n"/>
      <c r="H8" t="n">
        <v>300</v>
      </c>
      <c r="I8" s="20">
        <f>H8*1.25</f>
        <v/>
      </c>
      <c r="J8" t="n">
        <v>120</v>
      </c>
      <c r="K8" t="n">
        <v>180</v>
      </c>
      <c r="L8" t="n">
        <v>0</v>
      </c>
      <c r="M8" t="n">
        <v>0</v>
      </c>
      <c r="N8" s="37" t="n">
        <v>0</v>
      </c>
      <c r="O8" s="37" t="n">
        <v>0</v>
      </c>
      <c r="P8">
        <f>IF(N8+O8&lt;I8+1,"TRUE","FALSE")</f>
        <v/>
      </c>
      <c r="Q8">
        <f>IF(E8=1,N8*(E28-D28),N8*(G28-F28))</f>
        <v/>
      </c>
      <c r="R8">
        <f>IF($E8=1,$O8*($H28-$D28),$O8*($I28-$F28))</f>
        <v/>
      </c>
      <c r="S8">
        <f>Q8+R8</f>
        <v/>
      </c>
      <c r="T8" t="n">
        <v>0</v>
      </c>
      <c r="U8" t="n">
        <v>0</v>
      </c>
      <c r="V8" t="n">
        <v>300</v>
      </c>
      <c r="W8" t="n">
        <v>300</v>
      </c>
      <c r="X8" t="n">
        <v>0</v>
      </c>
      <c r="Y8" t="n">
        <v>0</v>
      </c>
    </row>
    <row r="9" spans="1:25">
      <c r="A9" t="s">
        <v>124</v>
      </c>
      <c r="B9" t="s">
        <v>49</v>
      </c>
      <c r="C9" t="s">
        <v>20</v>
      </c>
      <c r="D9" t="s">
        <v>50</v>
      </c>
      <c r="E9" t="n">
        <v>0</v>
      </c>
      <c r="F9" s="23" t="n"/>
      <c r="G9" s="23" t="n"/>
      <c r="H9" t="n">
        <v>740</v>
      </c>
      <c r="I9" s="20">
        <f>H9*1.25</f>
        <v/>
      </c>
      <c r="J9" t="n">
        <v>0</v>
      </c>
      <c r="K9" t="n">
        <v>360</v>
      </c>
      <c r="L9" t="n">
        <v>380</v>
      </c>
      <c r="M9" t="n">
        <v>0</v>
      </c>
      <c r="N9" s="37" t="n">
        <v>0</v>
      </c>
      <c r="O9" s="37" t="n">
        <v>0</v>
      </c>
      <c r="P9">
        <f>IF(N9+O9&lt;I9+1,"TRUE","FALSE")</f>
        <v/>
      </c>
      <c r="Q9">
        <f>IF(E9=1,N9*(E26-D26),N9*(G26-F26))</f>
        <v/>
      </c>
      <c r="R9">
        <f>IF($E9=1,$O9*($H26-$D26),$O9*($I26-$F26))</f>
        <v/>
      </c>
      <c r="S9">
        <f>Q9+R9</f>
        <v/>
      </c>
      <c r="T9" t="n">
        <v>0</v>
      </c>
      <c r="U9" t="n">
        <v>0</v>
      </c>
      <c r="V9" t="n">
        <v>740</v>
      </c>
      <c r="W9" t="n">
        <v>0</v>
      </c>
      <c r="X9" t="n">
        <v>0</v>
      </c>
      <c r="Y9" t="n">
        <v>740</v>
      </c>
    </row>
    <row r="10" spans="1:25">
      <c r="A10" t="s">
        <v>125</v>
      </c>
      <c r="B10" t="s">
        <v>51</v>
      </c>
      <c r="C10" t="s">
        <v>20</v>
      </c>
      <c r="D10" t="s">
        <v>50</v>
      </c>
      <c r="E10" t="n">
        <v>0</v>
      </c>
      <c r="F10" s="23" t="n"/>
      <c r="G10" s="23" t="n"/>
      <c r="H10" t="n">
        <v>82</v>
      </c>
      <c r="I10" s="20">
        <f>H10*1.25</f>
        <v/>
      </c>
      <c r="J10" t="n">
        <v>82</v>
      </c>
      <c r="K10" t="n">
        <v>0</v>
      </c>
      <c r="L10" t="n">
        <v>0</v>
      </c>
      <c r="M10" t="n">
        <v>0</v>
      </c>
      <c r="N10" s="37" t="n">
        <v>0</v>
      </c>
      <c r="O10" s="37" t="n">
        <v>0</v>
      </c>
      <c r="P10">
        <f>IF(N10+O10&lt;I10+1,"TRUE","FALSE")</f>
        <v/>
      </c>
      <c r="Q10">
        <f>IF(E10=1,N10*(E26-D26),N10*(G26-F26))</f>
        <v/>
      </c>
      <c r="R10">
        <f>IF($E10=1,$O10*($H26-$D26),$O10*($I26-$F26))</f>
        <v/>
      </c>
      <c r="S10">
        <f>Q10+R10</f>
        <v/>
      </c>
      <c r="T10" t="n">
        <v>0</v>
      </c>
      <c r="U10" t="n">
        <v>0</v>
      </c>
      <c r="V10" t="n">
        <v>82</v>
      </c>
      <c r="W10" t="n">
        <v>0</v>
      </c>
      <c r="X10" t="n">
        <v>0</v>
      </c>
      <c r="Y10" t="n">
        <v>82</v>
      </c>
    </row>
    <row r="11" spans="1:25">
      <c r="A11" t="s">
        <v>126</v>
      </c>
      <c r="B11" t="s">
        <v>52</v>
      </c>
      <c r="C11" t="s">
        <v>20</v>
      </c>
      <c r="D11" t="s">
        <v>50</v>
      </c>
      <c r="E11" t="n">
        <v>1</v>
      </c>
      <c r="F11" s="23" t="n"/>
      <c r="G11" s="23" t="n"/>
      <c r="H11" t="n">
        <v>483</v>
      </c>
      <c r="I11" s="20">
        <f>H11*1.25</f>
        <v/>
      </c>
      <c r="J11" t="n">
        <v>227</v>
      </c>
      <c r="K11" t="n">
        <v>256</v>
      </c>
      <c r="L11" t="n">
        <v>0</v>
      </c>
      <c r="M11" t="n">
        <v>0</v>
      </c>
      <c r="N11" s="37" t="n">
        <v>0</v>
      </c>
      <c r="O11" s="37" t="n">
        <v>0</v>
      </c>
      <c r="P11">
        <f>IF(N11+O11&lt;I11+1,"TRUE","FALSE")</f>
        <v/>
      </c>
      <c r="Q11">
        <f>IF(E11=1,N11*(E26-D26),N11*(G26-F26))</f>
        <v/>
      </c>
      <c r="R11">
        <f>IF($E11=1,$O11*($H26-$D26),$O11*($I26-$F26))</f>
        <v/>
      </c>
      <c r="S11">
        <f>Q11+R11</f>
        <v/>
      </c>
      <c r="T11" t="n">
        <v>24</v>
      </c>
      <c r="U11" t="n">
        <v>459</v>
      </c>
      <c r="V11" t="n">
        <v>0</v>
      </c>
      <c r="W11" t="n">
        <v>435</v>
      </c>
      <c r="X11" t="n">
        <v>24</v>
      </c>
      <c r="Y11" t="n">
        <v>4</v>
      </c>
    </row>
    <row r="12" spans="1:25">
      <c r="A12" t="s">
        <v>127</v>
      </c>
      <c r="B12" t="s">
        <v>53</v>
      </c>
      <c r="C12" t="s">
        <v>23</v>
      </c>
      <c r="D12" t="s">
        <v>54</v>
      </c>
      <c r="E12" t="n">
        <v>1</v>
      </c>
      <c r="F12" s="23" t="n"/>
      <c r="G12" s="23" t="n"/>
      <c r="H12" t="n">
        <v>8500</v>
      </c>
      <c r="I12" s="20">
        <f>H12*1.25</f>
        <v/>
      </c>
      <c r="J12" t="n">
        <v>0</v>
      </c>
      <c r="K12" t="n">
        <v>500</v>
      </c>
      <c r="L12" t="n">
        <v>2000</v>
      </c>
      <c r="M12" t="n">
        <v>6000</v>
      </c>
      <c r="N12" s="37" t="n">
        <v>0</v>
      </c>
      <c r="O12" s="37" t="n">
        <v>0</v>
      </c>
      <c r="P12">
        <f>IF(N12+O12&lt;I12+1,"TRUE","FALSE")</f>
        <v/>
      </c>
      <c r="Q12">
        <f>IF(E12=1,N12*(E29-D29),N12*(G29-F29))</f>
        <v/>
      </c>
      <c r="R12">
        <f>IF($E12=1,$O12*($H$29-$D$29),$O12*($I$29-$F$29))</f>
        <v/>
      </c>
      <c r="S12">
        <f>Q12+R12</f>
        <v/>
      </c>
      <c r="T12" t="n">
        <v>0</v>
      </c>
      <c r="U12" t="n">
        <v>0</v>
      </c>
      <c r="V12" t="n">
        <v>8500</v>
      </c>
      <c r="W12" t="n">
        <v>0</v>
      </c>
      <c r="X12" t="n">
        <v>0</v>
      </c>
      <c r="Y12" t="n">
        <v>8500</v>
      </c>
    </row>
    <row r="13" spans="1:25">
      <c r="A13" t="s">
        <v>128</v>
      </c>
      <c r="B13" t="s">
        <v>55</v>
      </c>
      <c r="C13" t="s">
        <v>23</v>
      </c>
      <c r="D13" t="s">
        <v>54</v>
      </c>
      <c r="E13" t="n">
        <v>1</v>
      </c>
      <c r="F13" s="23" t="n"/>
      <c r="G13" s="23" t="n"/>
      <c r="H13" t="n">
        <v>1000</v>
      </c>
      <c r="I13" s="20">
        <f>H13*1.25</f>
        <v/>
      </c>
      <c r="J13" t="n">
        <v>0</v>
      </c>
      <c r="K13" t="n">
        <v>500</v>
      </c>
      <c r="L13" t="n">
        <v>500</v>
      </c>
      <c r="M13" t="n">
        <v>0</v>
      </c>
      <c r="N13" s="37" t="n">
        <v>0</v>
      </c>
      <c r="O13" s="37" t="n">
        <v>0</v>
      </c>
      <c r="P13">
        <f>IF(N13+O13&lt;I13+1,"TRUE","FALSE")</f>
        <v/>
      </c>
      <c r="Q13">
        <f>IF(E13=1,N13*(E29-D29),N13*(G29-F29))</f>
        <v/>
      </c>
      <c r="R13">
        <f>IF($E13=1,$O13*($H$29-$D$29),$O13*($I$29-$F$29))</f>
        <v/>
      </c>
      <c r="S13">
        <f>Q13+R13</f>
        <v/>
      </c>
      <c r="T13" t="n">
        <v>600</v>
      </c>
      <c r="U13" t="n">
        <v>400</v>
      </c>
      <c r="V13" t="n">
        <v>0</v>
      </c>
      <c r="W13" t="n">
        <v>0</v>
      </c>
      <c r="X13" t="n">
        <v>0</v>
      </c>
      <c r="Y13" t="n">
        <v>1000</v>
      </c>
    </row>
    <row r="14" spans="1:25">
      <c r="A14" t="s">
        <v>129</v>
      </c>
      <c r="B14" t="s">
        <v>56</v>
      </c>
      <c r="C14" t="s">
        <v>23</v>
      </c>
      <c r="D14" t="s">
        <v>57</v>
      </c>
      <c r="E14" t="n">
        <v>1</v>
      </c>
      <c r="F14" s="23" t="n"/>
      <c r="G14" s="23" t="n"/>
      <c r="H14" t="n">
        <v>3000</v>
      </c>
      <c r="I14" s="20">
        <f>H14*1.25</f>
        <v/>
      </c>
      <c r="J14" t="n">
        <v>400</v>
      </c>
      <c r="K14" t="n">
        <v>500</v>
      </c>
      <c r="L14" t="n">
        <v>1000</v>
      </c>
      <c r="M14" t="n">
        <v>1100</v>
      </c>
      <c r="N14" s="37" t="n">
        <v>0</v>
      </c>
      <c r="O14" s="37" t="n">
        <v>0</v>
      </c>
      <c r="P14">
        <f>IF(N14+O14&lt;I14+1,"TRUE","FALSE")</f>
        <v/>
      </c>
      <c r="Q14">
        <f>IF(E14=1,N14*(E29-D29),N14*(G29-F29))</f>
        <v/>
      </c>
      <c r="R14">
        <f>IF($E14=1,$O14*($H$29-$D$29),$O14*($I$29-$F$29))</f>
        <v/>
      </c>
      <c r="S14">
        <f>Q14+R14</f>
        <v/>
      </c>
      <c r="T14" t="n">
        <v>0</v>
      </c>
      <c r="U14" t="n">
        <v>0</v>
      </c>
      <c r="V14" t="n">
        <v>3000</v>
      </c>
      <c r="W14" t="n">
        <v>0</v>
      </c>
      <c r="X14" t="n">
        <v>0</v>
      </c>
      <c r="Y14" t="n">
        <v>3000</v>
      </c>
    </row>
    <row r="15" spans="1:25">
      <c r="A15" t="s">
        <v>130</v>
      </c>
      <c r="B15" t="s">
        <v>58</v>
      </c>
      <c r="C15" t="s">
        <v>23</v>
      </c>
      <c r="D15" t="s">
        <v>54</v>
      </c>
      <c r="E15" t="n">
        <v>1</v>
      </c>
      <c r="F15" s="23" t="n"/>
      <c r="G15" s="23" t="n"/>
      <c r="H15" t="n">
        <v>1000</v>
      </c>
      <c r="I15" s="20">
        <f>H15*1.25</f>
        <v/>
      </c>
      <c r="J15" t="n">
        <v>0</v>
      </c>
      <c r="K15" t="n">
        <v>500</v>
      </c>
      <c r="L15" t="n">
        <v>500</v>
      </c>
      <c r="M15" t="n">
        <v>0</v>
      </c>
      <c r="N15" s="37" t="n">
        <v>0</v>
      </c>
      <c r="O15" s="37" t="n">
        <v>0</v>
      </c>
      <c r="P15">
        <f>IF(N15+O15&lt;I15+1,"TRUE","FALSE")</f>
        <v/>
      </c>
      <c r="Q15">
        <f>IF(E15=1,N15*(E29-D29),N15*(G29-F29))</f>
        <v/>
      </c>
      <c r="R15">
        <f>IF($E15=1,$O15*($H$29-$D$29),$O15*($I$29-$F$29))</f>
        <v/>
      </c>
      <c r="S15">
        <f>Q15+R15</f>
        <v/>
      </c>
      <c r="T15" t="n">
        <v>0</v>
      </c>
      <c r="U15" t="n">
        <v>0</v>
      </c>
      <c r="V15" t="n">
        <v>1000</v>
      </c>
      <c r="W15" t="n">
        <v>0</v>
      </c>
      <c r="X15" t="n">
        <v>0</v>
      </c>
      <c r="Y15" t="n">
        <v>1000</v>
      </c>
    </row>
    <row r="16" spans="1:25">
      <c r="A16" t="s">
        <v>131</v>
      </c>
      <c r="B16" t="s">
        <v>59</v>
      </c>
      <c r="C16" t="s">
        <v>23</v>
      </c>
      <c r="D16" t="s">
        <v>57</v>
      </c>
      <c r="E16" t="n">
        <v>1</v>
      </c>
      <c r="F16" s="23" t="n"/>
      <c r="G16" s="23" t="n"/>
      <c r="H16" t="n">
        <v>1000</v>
      </c>
      <c r="I16" s="20">
        <f>H16*1.25</f>
        <v/>
      </c>
      <c r="J16" t="n">
        <v>0</v>
      </c>
      <c r="K16" t="n">
        <v>50</v>
      </c>
      <c r="L16" t="n">
        <v>200</v>
      </c>
      <c r="M16" t="n">
        <v>750</v>
      </c>
      <c r="N16" s="37" t="n">
        <v>0</v>
      </c>
      <c r="O16" s="37" t="n">
        <v>0</v>
      </c>
      <c r="P16">
        <f>IF(N16+O16&lt;I16+1,"TRUE","FALSE")</f>
        <v/>
      </c>
      <c r="Q16">
        <f>IF(E16=1,N16*(E29-D29),N16*(G29-F29))</f>
        <v/>
      </c>
      <c r="R16">
        <f>IF($E16=1,$O16*($H$29-$D$29),$O16*($I$29-$F$29))</f>
        <v/>
      </c>
      <c r="S16">
        <f>Q16+R16</f>
        <v/>
      </c>
      <c r="T16" t="n">
        <v>0</v>
      </c>
      <c r="U16" t="n">
        <v>0</v>
      </c>
      <c r="V16" t="n">
        <v>1000</v>
      </c>
      <c r="W16" t="n">
        <v>0</v>
      </c>
      <c r="X16" t="n">
        <v>0</v>
      </c>
      <c r="Y16" t="n">
        <v>1000</v>
      </c>
    </row>
    <row r="17" spans="1:25">
      <c r="A17" t="s">
        <v>132</v>
      </c>
      <c r="B17" t="s">
        <v>60</v>
      </c>
      <c r="C17" t="s">
        <v>23</v>
      </c>
      <c r="D17" t="s">
        <v>57</v>
      </c>
      <c r="E17" t="n">
        <v>0</v>
      </c>
      <c r="F17" s="23" t="n"/>
      <c r="G17" s="23" t="n"/>
      <c r="H17" t="n">
        <v>844</v>
      </c>
      <c r="I17" s="20">
        <f>H17*1.25</f>
        <v/>
      </c>
      <c r="J17" t="n">
        <v>122</v>
      </c>
      <c r="K17" t="n">
        <v>722</v>
      </c>
      <c r="L17" t="n">
        <v>0</v>
      </c>
      <c r="M17" t="n">
        <v>0</v>
      </c>
      <c r="N17" s="37" t="n">
        <v>0</v>
      </c>
      <c r="O17" s="37" t="n">
        <v>0</v>
      </c>
      <c r="P17">
        <f>IF(N17+O17&lt;I17+1,"TRUE","FALSE")</f>
        <v/>
      </c>
      <c r="Q17">
        <f>IF(E17=1,N17*(E29-D29),N17*(G29-F29))</f>
        <v/>
      </c>
      <c r="R17">
        <f>IF($E17=1,$O17*($H$29-$D$29),$O17*($I$29-$F$29))</f>
        <v/>
      </c>
      <c r="S17">
        <f>Q17+R17</f>
        <v/>
      </c>
      <c r="T17" t="n">
        <v>844</v>
      </c>
      <c r="U17" t="n">
        <v>0</v>
      </c>
      <c r="V17" t="n">
        <v>0</v>
      </c>
      <c r="W17" t="n">
        <v>706</v>
      </c>
      <c r="X17" t="n">
        <v>138</v>
      </c>
      <c r="Y17" t="n">
        <v>0</v>
      </c>
    </row>
    <row r="19" spans="1:25">
      <c r="B19" t="s">
        <v>0</v>
      </c>
      <c r="E19" t="s">
        <v>1</v>
      </c>
    </row>
    <row r="20" spans="1:25">
      <c r="B20" t="s">
        <v>2</v>
      </c>
      <c r="C20" t="s">
        <v>3</v>
      </c>
      <c r="D20" t="s">
        <v>4</v>
      </c>
      <c r="E20" t="s">
        <v>5</v>
      </c>
      <c r="F20" t="s">
        <v>6</v>
      </c>
      <c r="G20" t="s">
        <v>7</v>
      </c>
      <c r="H20" t="s">
        <v>8</v>
      </c>
    </row>
    <row r="21" spans="1:25">
      <c r="A21" t="s">
        <v>9</v>
      </c>
      <c r="B21" t="n">
        <v>62600</v>
      </c>
      <c r="C21" t="n">
        <v>46900</v>
      </c>
      <c r="D21" t="n">
        <v>9500</v>
      </c>
      <c r="E21" s="20">
        <f>B21*E23</f>
        <v/>
      </c>
      <c r="F21" s="20">
        <f>C21*E23</f>
        <v/>
      </c>
      <c r="G21" s="20">
        <f>D21*E23</f>
        <v/>
      </c>
      <c r="H21" s="20">
        <f>F21-G21</f>
        <v/>
      </c>
    </row>
    <row r="22" spans="1:25">
      <c r="A22" t="s">
        <v>10</v>
      </c>
      <c r="B22" t="n">
        <v>59700</v>
      </c>
      <c r="C22" t="n">
        <v>66600</v>
      </c>
      <c r="D22" t="n">
        <v>11000</v>
      </c>
      <c r="E22" s="20">
        <f>B22*E23</f>
        <v/>
      </c>
      <c r="F22" s="20">
        <f>C22*E23</f>
        <v/>
      </c>
      <c r="G22" s="20">
        <f>D22*E23</f>
        <v/>
      </c>
      <c r="H22" s="20">
        <f>F22-G22</f>
        <v/>
      </c>
    </row>
    <row r="23" spans="1:25">
      <c r="B23" s="33" t="s">
        <v>11</v>
      </c>
      <c r="E23" s="34">
        <f>145.9/136</f>
        <v/>
      </c>
      <c r="F23" s="20" t="n"/>
    </row>
    <row r="24" spans="1:25">
      <c r="F24" s="20" t="n"/>
    </row>
    <row r="25" spans="1:25">
      <c r="B25" t="s">
        <v>12</v>
      </c>
      <c r="C25" t="s">
        <v>13</v>
      </c>
      <c r="D25" t="s">
        <v>14</v>
      </c>
      <c r="E25" s="20" t="s">
        <v>15</v>
      </c>
      <c r="F25" t="s">
        <v>16</v>
      </c>
      <c r="G25" t="s">
        <v>17</v>
      </c>
      <c r="H25" t="s">
        <v>18</v>
      </c>
      <c r="I25" t="s">
        <v>19</v>
      </c>
    </row>
    <row r="26" spans="1:25">
      <c r="A26" t="s">
        <v>20</v>
      </c>
      <c r="B26" t="n">
        <v>281721</v>
      </c>
      <c r="C26" s="32">
        <f>B26/B30*100</f>
        <v/>
      </c>
      <c r="D26" s="20">
        <f>$E$21*C26/100</f>
        <v/>
      </c>
      <c r="E26" s="20">
        <f>$F$21*C26/100</f>
        <v/>
      </c>
      <c r="F26" s="20">
        <f>$E$22*C26/100</f>
        <v/>
      </c>
      <c r="G26" s="20">
        <f>$F$22*C26/100</f>
        <v/>
      </c>
      <c r="H26" s="20">
        <f>$H$21*C26/100</f>
        <v/>
      </c>
      <c r="I26" s="20">
        <f>$H$22*C26/100</f>
        <v/>
      </c>
    </row>
    <row r="27" spans="1:25">
      <c r="A27" t="s">
        <v>21</v>
      </c>
      <c r="B27" t="n">
        <v>234005</v>
      </c>
      <c r="C27" s="32">
        <f>B27/B30*100</f>
        <v/>
      </c>
      <c r="D27" s="20">
        <f>$E$21*C27/100</f>
        <v/>
      </c>
      <c r="E27" s="20">
        <f>$F$21*C27/100</f>
        <v/>
      </c>
      <c r="F27" s="20">
        <f>$E$22*C27/100</f>
        <v/>
      </c>
      <c r="G27" s="20">
        <f>$F$22*C27/100</f>
        <v/>
      </c>
      <c r="H27" s="20">
        <f>$H$21*C27/100</f>
        <v/>
      </c>
      <c r="I27" s="20">
        <f>$H$22*C27/100</f>
        <v/>
      </c>
    </row>
    <row r="28" spans="1:25">
      <c r="A28" t="s">
        <v>22</v>
      </c>
      <c r="B28" t="n">
        <v>236098</v>
      </c>
      <c r="C28" s="32">
        <f>B28/B30*100</f>
        <v/>
      </c>
      <c r="D28" s="20">
        <f>$E$21*C28/100</f>
        <v/>
      </c>
      <c r="E28" s="20">
        <f>$F$21*C28/100</f>
        <v/>
      </c>
      <c r="F28" s="20">
        <f>$E$22*C28/100</f>
        <v/>
      </c>
      <c r="G28" s="20">
        <f>$F$22*C28/100</f>
        <v/>
      </c>
      <c r="H28" s="20">
        <f>$H$21*C28/100</f>
        <v/>
      </c>
      <c r="I28" s="20">
        <f>$H$22*C28/100</f>
        <v/>
      </c>
    </row>
    <row r="29" spans="1:25">
      <c r="A29" t="s">
        <v>23</v>
      </c>
      <c r="B29" t="n">
        <v>236187</v>
      </c>
      <c r="C29" s="32">
        <f>B29/B30*100</f>
        <v/>
      </c>
      <c r="D29" s="20">
        <f>$E$21*C29/100</f>
        <v/>
      </c>
      <c r="E29" s="20">
        <f>$F$21*C29/100</f>
        <v/>
      </c>
      <c r="F29" s="20">
        <f>$E$22*C29/100</f>
        <v/>
      </c>
      <c r="G29" s="20">
        <f>$F$22*C29/100</f>
        <v/>
      </c>
      <c r="H29" s="20">
        <f>$H$21*C29/100</f>
        <v/>
      </c>
      <c r="I29" s="20">
        <f>$H$22*C29/100</f>
        <v/>
      </c>
    </row>
    <row r="30" spans="1:25">
      <c r="A30" t="s">
        <v>24</v>
      </c>
      <c r="B30" t="n">
        <v>333082</v>
      </c>
      <c r="C30" t="n">
        <v>100</v>
      </c>
      <c r="D30" s="20">
        <f>$E$21*C30/100</f>
        <v/>
      </c>
      <c r="E30" s="20">
        <f>$F$21*C30/100</f>
        <v/>
      </c>
      <c r="F30" s="20">
        <f>$E$22*C30/100</f>
        <v/>
      </c>
      <c r="G30" s="20">
        <f>$F$22*C30/100</f>
        <v/>
      </c>
      <c r="H30" s="20">
        <f>$H$21*C30/100</f>
        <v/>
      </c>
      <c r="I30" s="20">
        <f>$H$22*C30/100</f>
        <v/>
      </c>
    </row>
    <row r="31" spans="1:25">
      <c r="B31" s="33" t="s">
        <v>25</v>
      </c>
    </row>
    <row r="33" spans="1:25">
      <c r="B33" t="s">
        <v>26</v>
      </c>
      <c r="C33" t="s">
        <v>27</v>
      </c>
    </row>
    <row r="34" spans="1:25">
      <c r="A34" t="s">
        <v>28</v>
      </c>
      <c r="B34" t="n">
        <v>86000</v>
      </c>
      <c r="C34" s="20">
        <f>B34*(C36/B36)</f>
        <v/>
      </c>
    </row>
    <row r="35" spans="1:25">
      <c r="A35" t="s">
        <v>29</v>
      </c>
      <c r="B35" t="n">
        <v>129000</v>
      </c>
      <c r="C35" s="20">
        <f>B35*(C36/B36)</f>
        <v/>
      </c>
    </row>
    <row r="36" spans="1:25">
      <c r="B36" t="n">
        <v>98.7</v>
      </c>
      <c r="C36" t="n">
        <v>103.9</v>
      </c>
    </row>
  </sheetData>
  <pageMargins bottom="0.75" footer="0.3" header="0.3" left="0.7" right="0.7" top="0.75"/>
  <pageSetup horizontalDpi="1200" orientation="portrait" paperSize="9" verticalDpi="1200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Sander</dc:creator>
  <dcterms:created xsi:type="dcterms:W3CDTF">2018-06-21T09:33:50Z</dcterms:created>
  <dcterms:modified xsi:type="dcterms:W3CDTF">2018-09-08T14:48:08Z</dcterms:modified>
  <cp:lastModifiedBy>Raphael Sulzer</cp:lastModifiedBy>
</cp:coreProperties>
</file>